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Zalo Received Files\"/>
    </mc:Choice>
  </mc:AlternateContent>
  <xr:revisionPtr revIDLastSave="0" documentId="13_ncr:1_{C93002D7-F5B9-4426-B59D-96DAF988E287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HP" sheetId="4" state="hidden" r:id="rId1"/>
    <sheet name="Nhóm(9)" sheetId="1" r:id="rId2"/>
    <sheet name="Nhóm(10)" sheetId="6" r:id="rId3"/>
    <sheet name="Sheet1" sheetId="5" state="hidden" r:id="rId4"/>
  </sheets>
  <functionGroups builtInGroupCount="19"/>
  <definedNames>
    <definedName name="_xlnm._FilterDatabase" localSheetId="0" hidden="1">HP!$A$1:$XEU$1571</definedName>
    <definedName name="_xlnm._FilterDatabase" localSheetId="2" hidden="1">'Nhóm(10)'!$B$9:$AM$161</definedName>
    <definedName name="_xlnm._FilterDatabase" localSheetId="1" hidden="1">'Nhóm(9)'!$B$9:$AM$161</definedName>
    <definedName name="Date">#REF!</definedName>
    <definedName name="HP">HP!$A$1:$B$5000</definedName>
    <definedName name="_xlnm.Print_Area" localSheetId="2">'Nhóm(10)'!$B$1:$S$161</definedName>
    <definedName name="_xlnm.Print_Area" localSheetId="1">'Nhóm(9)'!$B$1:$S$161</definedName>
    <definedName name="_xlnm.Print_Titles" localSheetId="2">'Nhóm(10)'!$5:$9</definedName>
    <definedName name="_xlnm.Print_Titles" localSheetId="1">'Nhóm(9)'!$5:$9</definedName>
    <definedName name="T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14" i="6" l="1"/>
  <c r="AF115" i="6"/>
  <c r="AF116" i="6"/>
  <c r="AF117" i="6"/>
  <c r="AF118" i="6"/>
  <c r="AF119" i="6"/>
  <c r="AF120" i="6"/>
  <c r="AF121" i="6"/>
  <c r="AF113" i="6"/>
  <c r="AE114" i="6"/>
  <c r="AE122" i="6" s="1"/>
  <c r="AE115" i="6"/>
  <c r="AE116" i="6"/>
  <c r="AE117" i="6"/>
  <c r="AE118" i="6"/>
  <c r="AE119" i="6"/>
  <c r="AE120" i="6"/>
  <c r="AE121" i="6"/>
  <c r="AE113" i="6"/>
  <c r="AF102" i="6"/>
  <c r="AF103" i="6"/>
  <c r="AF104" i="6"/>
  <c r="AF105" i="6"/>
  <c r="AF106" i="6"/>
  <c r="AF107" i="6"/>
  <c r="AF108" i="6"/>
  <c r="AF109" i="6"/>
  <c r="AF101" i="6"/>
  <c r="AE110" i="6"/>
  <c r="AF94" i="6"/>
  <c r="AF86" i="6"/>
  <c r="AF87" i="6"/>
  <c r="AF88" i="6"/>
  <c r="AF89" i="6"/>
  <c r="AF90" i="6"/>
  <c r="AF91" i="6"/>
  <c r="AF92" i="6"/>
  <c r="AF93" i="6"/>
  <c r="AF85" i="6"/>
  <c r="AE93" i="6"/>
  <c r="AE92" i="6"/>
  <c r="AE91" i="6"/>
  <c r="AE90" i="6"/>
  <c r="AE89" i="6"/>
  <c r="AE88" i="6"/>
  <c r="AE87" i="6"/>
  <c r="AE86" i="6"/>
  <c r="AE85" i="6"/>
  <c r="AE21" i="1"/>
  <c r="AE13" i="1"/>
  <c r="AE14" i="1"/>
  <c r="AE15" i="1"/>
  <c r="AE16" i="1"/>
  <c r="AE17" i="1"/>
  <c r="AE18" i="1"/>
  <c r="AE19" i="1"/>
  <c r="AE20" i="1"/>
  <c r="AE12" i="1"/>
  <c r="AD21" i="1"/>
  <c r="AD20" i="1"/>
  <c r="AD19" i="1"/>
  <c r="AD18" i="1"/>
  <c r="AD17" i="1"/>
  <c r="AD16" i="1"/>
  <c r="AD15" i="1"/>
  <c r="AD14" i="1"/>
  <c r="AD13" i="1"/>
  <c r="AD12" i="1"/>
  <c r="AA84" i="6" a="1"/>
  <c r="AA84" i="6" s="1"/>
  <c r="AA85" i="6" a="1"/>
  <c r="AA85" i="6" s="1"/>
  <c r="AA86" i="6" a="1"/>
  <c r="AA86" i="6" s="1"/>
  <c r="AA87" i="6" a="1"/>
  <c r="AA87" i="6"/>
  <c r="AA88" i="6" a="1"/>
  <c r="AA88" i="6" s="1"/>
  <c r="AA91" i="6" a="1"/>
  <c r="AA91" i="6"/>
  <c r="AA92" i="6" a="1"/>
  <c r="AA92" i="6" s="1"/>
  <c r="AA93" i="6" a="1"/>
  <c r="AA93" i="6" s="1"/>
  <c r="AA94" i="6" a="1"/>
  <c r="AA94" i="6" s="1"/>
  <c r="AA95" i="6" a="1"/>
  <c r="AA95" i="6"/>
  <c r="AA96" i="6" a="1"/>
  <c r="AA96" i="6" s="1"/>
  <c r="AA97" i="6" a="1"/>
  <c r="AA97" i="6" s="1"/>
  <c r="AA98" i="6" a="1"/>
  <c r="AA98" i="6" s="1"/>
  <c r="AA99" i="6" a="1"/>
  <c r="AA99" i="6"/>
  <c r="AA100" i="6" a="1"/>
  <c r="AA100" i="6" s="1"/>
  <c r="AA101" i="6" a="1"/>
  <c r="AA101" i="6" s="1"/>
  <c r="AA102" i="6" a="1"/>
  <c r="AA102" i="6" s="1"/>
  <c r="AA105" i="6" a="1"/>
  <c r="AA105" i="6" s="1"/>
  <c r="AA106" i="6" a="1"/>
  <c r="AA106" i="6" s="1"/>
  <c r="AA107" i="6" a="1"/>
  <c r="AA107" i="6"/>
  <c r="AA108" i="6" a="1"/>
  <c r="AA108" i="6" s="1"/>
  <c r="AA109" i="6" a="1"/>
  <c r="AA109" i="6" s="1"/>
  <c r="AA110" i="6" a="1"/>
  <c r="AA110" i="6" s="1"/>
  <c r="AA111" i="6" a="1"/>
  <c r="AA111" i="6"/>
  <c r="AA112" i="6" a="1"/>
  <c r="AA112" i="6" s="1"/>
  <c r="AA113" i="6" a="1"/>
  <c r="AA113" i="6" s="1"/>
  <c r="AA114" i="6" a="1"/>
  <c r="AA114" i="6" s="1"/>
  <c r="AA115" i="6" a="1"/>
  <c r="AA115" i="6"/>
  <c r="AA116" i="6" a="1"/>
  <c r="AA116" i="6" s="1"/>
  <c r="AA117" i="6" a="1"/>
  <c r="AA117" i="6" s="1"/>
  <c r="AA118" i="6" a="1"/>
  <c r="AA118" i="6" s="1"/>
  <c r="AA119" i="6" a="1"/>
  <c r="AA119" i="6"/>
  <c r="AA120" i="6" a="1"/>
  <c r="AA120" i="6" s="1"/>
  <c r="AA121" i="6" a="1"/>
  <c r="AA121" i="6" s="1"/>
  <c r="AA123" i="6" a="1"/>
  <c r="AA123" i="6"/>
  <c r="AA124" i="6" a="1"/>
  <c r="AA124" i="6" s="1"/>
  <c r="AA125" i="6" a="1"/>
  <c r="AA125" i="6" s="1"/>
  <c r="AA126" i="6" a="1"/>
  <c r="AA126" i="6" s="1"/>
  <c r="AA127" i="6" a="1"/>
  <c r="AA127" i="6"/>
  <c r="AA128" i="6" a="1"/>
  <c r="AA128" i="6" s="1"/>
  <c r="AA129" i="6" a="1"/>
  <c r="AA129" i="6" s="1"/>
  <c r="AA130" i="6" a="1"/>
  <c r="AA130" i="6" s="1"/>
  <c r="AA131" i="6" a="1"/>
  <c r="AA131" i="6"/>
  <c r="AA132" i="6" a="1"/>
  <c r="AA132" i="6" s="1"/>
  <c r="AA133" i="6" a="1"/>
  <c r="AA133" i="6" s="1"/>
  <c r="AA134" i="6" a="1"/>
  <c r="AA134" i="6" s="1"/>
  <c r="AA135" i="6" a="1"/>
  <c r="AA135" i="6"/>
  <c r="AA136" i="6" a="1"/>
  <c r="AA136" i="6" s="1"/>
  <c r="AA138" i="6" a="1"/>
  <c r="AA138" i="6" s="1"/>
  <c r="AA139" i="6" a="1"/>
  <c r="AA139" i="6"/>
  <c r="AA140" i="6" a="1"/>
  <c r="AA140" i="6" s="1"/>
  <c r="AA141" i="6" a="1"/>
  <c r="AA141" i="6" s="1"/>
  <c r="AA142" i="6" a="1"/>
  <c r="AA142" i="6" s="1"/>
  <c r="AA143" i="6" a="1"/>
  <c r="AA143" i="6"/>
  <c r="AA144" i="6" a="1"/>
  <c r="AA144" i="6" s="1"/>
  <c r="AA145" i="6" a="1"/>
  <c r="AA145" i="6" s="1"/>
  <c r="AA146" i="6" a="1"/>
  <c r="AA146" i="6" s="1"/>
  <c r="AA147" i="6" a="1"/>
  <c r="AA147" i="6"/>
  <c r="AA148" i="6" a="1"/>
  <c r="AA148" i="6" s="1"/>
  <c r="AA149" i="6" a="1"/>
  <c r="AA149" i="6" s="1"/>
  <c r="AA150" i="6" a="1"/>
  <c r="AA150" i="6" s="1"/>
  <c r="AA151" i="6" a="1"/>
  <c r="AA151" i="6"/>
  <c r="AA152" i="6" a="1"/>
  <c r="AA152" i="6" s="1"/>
  <c r="AA153" i="6" a="1"/>
  <c r="AA153" i="6" s="1"/>
  <c r="AA154" i="6" a="1"/>
  <c r="AA154" i="6" s="1"/>
  <c r="AA155" i="6" a="1"/>
  <c r="AA155" i="6"/>
  <c r="V2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83" i="6"/>
  <c r="Z10" i="1"/>
  <c r="AA10" i="1" s="1" a="1"/>
  <c r="AA10" i="1" s="1"/>
  <c r="Z11" i="1"/>
  <c r="AA11" i="1" s="1" a="1"/>
  <c r="AA11" i="1" s="1"/>
  <c r="Z12" i="1"/>
  <c r="AA12" i="1" s="1" a="1"/>
  <c r="AA12" i="1" s="1"/>
  <c r="Z13" i="1"/>
  <c r="AA13" i="1" s="1" a="1"/>
  <c r="AA13" i="1" s="1"/>
  <c r="Z14" i="1"/>
  <c r="AA14" i="1" s="1" a="1"/>
  <c r="AA14" i="1" s="1"/>
  <c r="Z15" i="1"/>
  <c r="AA15" i="1" s="1" a="1"/>
  <c r="AA15" i="1" s="1"/>
  <c r="Z16" i="1"/>
  <c r="AA16" i="1" s="1" a="1"/>
  <c r="AA16" i="1" s="1"/>
  <c r="Z17" i="1"/>
  <c r="AA17" i="1" s="1" a="1"/>
  <c r="AA17" i="1" s="1"/>
  <c r="Z18" i="1"/>
  <c r="AA18" i="1" s="1" a="1"/>
  <c r="AA18" i="1" s="1"/>
  <c r="Z19" i="1"/>
  <c r="AA19" i="1" s="1" a="1"/>
  <c r="AA19" i="1" s="1"/>
  <c r="Z20" i="1"/>
  <c r="AA20" i="1" s="1" a="1"/>
  <c r="AA20" i="1" s="1"/>
  <c r="Z21" i="1"/>
  <c r="AA21" i="1" s="1" a="1"/>
  <c r="AA21" i="1" s="1"/>
  <c r="Z22" i="1"/>
  <c r="AA22" i="1" s="1" a="1"/>
  <c r="AA22" i="1" s="1"/>
  <c r="Z23" i="1"/>
  <c r="AA23" i="1" s="1" a="1"/>
  <c r="AA23" i="1" s="1"/>
  <c r="Z24" i="1"/>
  <c r="AA24" i="1" s="1" a="1"/>
  <c r="AA24" i="1" s="1"/>
  <c r="Z25" i="1"/>
  <c r="AA25" i="1" s="1" a="1"/>
  <c r="AA25" i="1" s="1"/>
  <c r="Z26" i="1"/>
  <c r="AA26" i="1" s="1" a="1"/>
  <c r="AA26" i="1" s="1"/>
  <c r="Z27" i="1"/>
  <c r="AA27" i="1" s="1" a="1"/>
  <c r="AA27" i="1" s="1"/>
  <c r="Z28" i="1"/>
  <c r="AA28" i="1" s="1" a="1"/>
  <c r="AA28" i="1" s="1"/>
  <c r="Z29" i="1"/>
  <c r="AA29" i="1" s="1" a="1"/>
  <c r="AA29" i="1" s="1"/>
  <c r="Z30" i="1"/>
  <c r="AA30" i="1" s="1" a="1"/>
  <c r="AA30" i="1" s="1"/>
  <c r="Z31" i="1"/>
  <c r="AA31" i="1" s="1" a="1"/>
  <c r="AA31" i="1" s="1"/>
  <c r="Z32" i="1"/>
  <c r="AA32" i="1" s="1" a="1"/>
  <c r="AA32" i="1" s="1"/>
  <c r="Z33" i="1"/>
  <c r="AA33" i="1" s="1" a="1"/>
  <c r="AA33" i="1" s="1"/>
  <c r="Z34" i="1"/>
  <c r="Z35" i="1"/>
  <c r="AA35" i="1" s="1" a="1"/>
  <c r="AA35" i="1" s="1"/>
  <c r="Z36" i="1"/>
  <c r="AA36" i="1" s="1" a="1"/>
  <c r="AA36" i="1" s="1"/>
  <c r="Z37" i="1"/>
  <c r="AA37" i="1" s="1" a="1"/>
  <c r="AA37" i="1" s="1"/>
  <c r="Z38" i="1"/>
  <c r="AA38" i="1" s="1" a="1"/>
  <c r="AA38" i="1" s="1"/>
  <c r="Z39" i="1"/>
  <c r="AA39" i="1" s="1" a="1"/>
  <c r="AA39" i="1" s="1"/>
  <c r="Z40" i="1"/>
  <c r="AA40" i="1" s="1" a="1"/>
  <c r="AA40" i="1" s="1"/>
  <c r="Z41" i="1"/>
  <c r="Z42" i="1"/>
  <c r="AA42" i="1" s="1" a="1"/>
  <c r="AA42" i="1" s="1"/>
  <c r="Z43" i="1"/>
  <c r="AA43" i="1" s="1" a="1"/>
  <c r="AA43" i="1" s="1"/>
  <c r="Z44" i="1"/>
  <c r="AA44" i="1" s="1" a="1"/>
  <c r="AA44" i="1" s="1"/>
  <c r="Z45" i="1"/>
  <c r="Z46" i="1"/>
  <c r="AA46" i="1" s="1" a="1"/>
  <c r="AA46" i="1" s="1"/>
  <c r="Z47" i="1"/>
  <c r="AA47" i="1" s="1" a="1"/>
  <c r="AA47" i="1" s="1"/>
  <c r="Z48" i="1"/>
  <c r="AA48" i="1" s="1" a="1"/>
  <c r="AA48" i="1" s="1"/>
  <c r="Z49" i="1"/>
  <c r="AA49" i="1" s="1" a="1"/>
  <c r="AA49" i="1" s="1"/>
  <c r="Z50" i="1"/>
  <c r="AA50" i="1" s="1" a="1"/>
  <c r="AA50" i="1" s="1"/>
  <c r="Z51" i="1"/>
  <c r="AA51" i="1" s="1" a="1"/>
  <c r="AA51" i="1" s="1"/>
  <c r="Z52" i="1"/>
  <c r="AA52" i="1" s="1" a="1"/>
  <c r="AA52" i="1" s="1"/>
  <c r="Z53" i="1"/>
  <c r="AA53" i="1" s="1" a="1"/>
  <c r="AA53" i="1" s="1"/>
  <c r="Z54" i="1"/>
  <c r="AA54" i="1" s="1" a="1"/>
  <c r="AA54" i="1" s="1"/>
  <c r="Z55" i="1"/>
  <c r="AA55" i="1" s="1" a="1"/>
  <c r="AA55" i="1" s="1"/>
  <c r="Z56" i="1"/>
  <c r="AA56" i="1" s="1" a="1"/>
  <c r="AA56" i="1" s="1"/>
  <c r="Z57" i="1"/>
  <c r="AA57" i="1" s="1" a="1"/>
  <c r="AA57" i="1" s="1"/>
  <c r="Z58" i="1"/>
  <c r="AA58" i="1" s="1" a="1"/>
  <c r="AA58" i="1" s="1"/>
  <c r="Z59" i="1"/>
  <c r="AA59" i="1" s="1" a="1"/>
  <c r="AA59" i="1" s="1"/>
  <c r="Z60" i="1"/>
  <c r="AA60" i="1" s="1" a="1"/>
  <c r="AA60" i="1" s="1"/>
  <c r="Z61" i="1"/>
  <c r="AA61" i="1" s="1" a="1"/>
  <c r="AA61" i="1" s="1"/>
  <c r="Z62" i="1"/>
  <c r="AA62" i="1" s="1" a="1"/>
  <c r="AA62" i="1" s="1"/>
  <c r="Z63" i="1"/>
  <c r="AA63" i="1" s="1" a="1"/>
  <c r="AA63" i="1" s="1"/>
  <c r="Z64" i="1"/>
  <c r="AA64" i="1" s="1" a="1"/>
  <c r="AA64" i="1" s="1"/>
  <c r="Z65" i="1"/>
  <c r="AA65" i="1" s="1" a="1"/>
  <c r="AA65" i="1" s="1"/>
  <c r="Z66" i="1"/>
  <c r="AA66" i="1" s="1" a="1"/>
  <c r="AA66" i="1" s="1"/>
  <c r="Z67" i="1"/>
  <c r="AA67" i="1" s="1" a="1"/>
  <c r="AA67" i="1" s="1"/>
  <c r="Z68" i="1"/>
  <c r="AA68" i="1" s="1" a="1"/>
  <c r="AA68" i="1" s="1"/>
  <c r="Z69" i="1"/>
  <c r="AA69" i="1" s="1" a="1"/>
  <c r="AA69" i="1" s="1"/>
  <c r="Z70" i="1"/>
  <c r="AA70" i="1" s="1" a="1"/>
  <c r="AA70" i="1" s="1"/>
  <c r="Z71" i="1"/>
  <c r="AA71" i="1" s="1" a="1"/>
  <c r="AA71" i="1" s="1"/>
  <c r="Z72" i="1"/>
  <c r="Z73" i="1"/>
  <c r="AA73" i="1" s="1" a="1"/>
  <c r="AA73" i="1" s="1"/>
  <c r="Z74" i="1"/>
  <c r="AA74" i="1" s="1" a="1"/>
  <c r="AA74" i="1" s="1"/>
  <c r="Z75" i="1"/>
  <c r="Z76" i="1"/>
  <c r="AA76" i="1" s="1" a="1"/>
  <c r="AA76" i="1" s="1"/>
  <c r="Z77" i="1"/>
  <c r="AA77" i="1" s="1" a="1"/>
  <c r="AA77" i="1" s="1"/>
  <c r="Z78" i="1"/>
  <c r="AA78" i="1" s="1" a="1"/>
  <c r="AA78" i="1" s="1"/>
  <c r="Z79" i="1"/>
  <c r="AA79" i="1" s="1" a="1"/>
  <c r="AA79" i="1" s="1"/>
  <c r="Z80" i="1"/>
  <c r="AA80" i="1" s="1" a="1"/>
  <c r="AA80" i="1" s="1"/>
  <c r="Z81" i="1"/>
  <c r="AA81" i="1" s="1" a="1"/>
  <c r="AA81" i="1" s="1"/>
  <c r="Z82" i="1"/>
  <c r="S161" i="6"/>
  <c r="S160" i="6"/>
  <c r="S159" i="6"/>
  <c r="S158" i="6"/>
  <c r="S155" i="6"/>
  <c r="R155" i="6"/>
  <c r="M155" i="6"/>
  <c r="B155" i="6"/>
  <c r="S154" i="6"/>
  <c r="R154" i="6"/>
  <c r="M154" i="6"/>
  <c r="B154" i="6"/>
  <c r="S153" i="6"/>
  <c r="R153" i="6"/>
  <c r="M153" i="6"/>
  <c r="B153" i="6"/>
  <c r="S152" i="6"/>
  <c r="R152" i="6"/>
  <c r="M152" i="6"/>
  <c r="B152" i="6"/>
  <c r="S151" i="6"/>
  <c r="R151" i="6"/>
  <c r="M151" i="6"/>
  <c r="B151" i="6"/>
  <c r="S150" i="6"/>
  <c r="R150" i="6"/>
  <c r="M150" i="6"/>
  <c r="B150" i="6"/>
  <c r="S149" i="6"/>
  <c r="R149" i="6"/>
  <c r="M149" i="6"/>
  <c r="B149" i="6"/>
  <c r="S148" i="6"/>
  <c r="Q148" i="6" s="1"/>
  <c r="R148" i="6"/>
  <c r="M148" i="6"/>
  <c r="B148" i="6"/>
  <c r="S147" i="6"/>
  <c r="R147" i="6"/>
  <c r="M147" i="6"/>
  <c r="B147" i="6"/>
  <c r="S146" i="6"/>
  <c r="R146" i="6"/>
  <c r="M146" i="6"/>
  <c r="B146" i="6"/>
  <c r="S145" i="6"/>
  <c r="R145" i="6"/>
  <c r="M145" i="6"/>
  <c r="B145" i="6"/>
  <c r="S144" i="6"/>
  <c r="R144" i="6"/>
  <c r="M144" i="6"/>
  <c r="B144" i="6"/>
  <c r="S143" i="6"/>
  <c r="R143" i="6"/>
  <c r="M143" i="6"/>
  <c r="B143" i="6"/>
  <c r="S142" i="6"/>
  <c r="R142" i="6"/>
  <c r="M142" i="6"/>
  <c r="B142" i="6"/>
  <c r="S141" i="6"/>
  <c r="R141" i="6"/>
  <c r="M141" i="6"/>
  <c r="B141" i="6"/>
  <c r="S140" i="6"/>
  <c r="R140" i="6"/>
  <c r="M140" i="6"/>
  <c r="B140" i="6"/>
  <c r="S139" i="6"/>
  <c r="R139" i="6"/>
  <c r="M139" i="6"/>
  <c r="B139" i="6"/>
  <c r="S138" i="6"/>
  <c r="R138" i="6"/>
  <c r="M138" i="6"/>
  <c r="B138" i="6"/>
  <c r="S137" i="6"/>
  <c r="R137" i="6"/>
  <c r="M137" i="6"/>
  <c r="B137" i="6"/>
  <c r="S136" i="6"/>
  <c r="R136" i="6"/>
  <c r="M136" i="6"/>
  <c r="B136" i="6"/>
  <c r="S135" i="6"/>
  <c r="R135" i="6"/>
  <c r="M135" i="6"/>
  <c r="B135" i="6"/>
  <c r="S134" i="6"/>
  <c r="R134" i="6"/>
  <c r="M134" i="6"/>
  <c r="B134" i="6"/>
  <c r="S133" i="6"/>
  <c r="R133" i="6"/>
  <c r="M133" i="6"/>
  <c r="B133" i="6"/>
  <c r="S132" i="6"/>
  <c r="R132" i="6"/>
  <c r="M132" i="6"/>
  <c r="B132" i="6"/>
  <c r="S131" i="6"/>
  <c r="R131" i="6"/>
  <c r="M131" i="6"/>
  <c r="B131" i="6"/>
  <c r="S130" i="6"/>
  <c r="R130" i="6"/>
  <c r="M130" i="6"/>
  <c r="B130" i="6"/>
  <c r="S129" i="6"/>
  <c r="R129" i="6"/>
  <c r="M129" i="6"/>
  <c r="B129" i="6"/>
  <c r="S128" i="6"/>
  <c r="R128" i="6"/>
  <c r="M128" i="6"/>
  <c r="B128" i="6"/>
  <c r="S127" i="6"/>
  <c r="R127" i="6"/>
  <c r="M127" i="6"/>
  <c r="B127" i="6"/>
  <c r="S126" i="6"/>
  <c r="R126" i="6"/>
  <c r="M126" i="6"/>
  <c r="B126" i="6"/>
  <c r="S125" i="6"/>
  <c r="R125" i="6"/>
  <c r="M125" i="6"/>
  <c r="B125" i="6"/>
  <c r="S124" i="6"/>
  <c r="R124" i="6"/>
  <c r="M124" i="6"/>
  <c r="B124" i="6"/>
  <c r="S123" i="6"/>
  <c r="R123" i="6"/>
  <c r="M123" i="6"/>
  <c r="B123" i="6"/>
  <c r="S122" i="6"/>
  <c r="R122" i="6"/>
  <c r="M122" i="6"/>
  <c r="B122" i="6"/>
  <c r="S121" i="6"/>
  <c r="R121" i="6"/>
  <c r="M121" i="6"/>
  <c r="B121" i="6"/>
  <c r="S120" i="6"/>
  <c r="R120" i="6"/>
  <c r="M120" i="6"/>
  <c r="B120" i="6"/>
  <c r="S119" i="6"/>
  <c r="R119" i="6"/>
  <c r="M119" i="6"/>
  <c r="B119" i="6"/>
  <c r="S118" i="6"/>
  <c r="R118" i="6"/>
  <c r="M118" i="6"/>
  <c r="B118" i="6"/>
  <c r="S117" i="6"/>
  <c r="R117" i="6"/>
  <c r="M117" i="6"/>
  <c r="B117" i="6"/>
  <c r="S116" i="6"/>
  <c r="R116" i="6"/>
  <c r="M116" i="6"/>
  <c r="B116" i="6"/>
  <c r="S115" i="6"/>
  <c r="R115" i="6"/>
  <c r="M115" i="6"/>
  <c r="B115" i="6"/>
  <c r="S114" i="6"/>
  <c r="R114" i="6"/>
  <c r="M114" i="6"/>
  <c r="B114" i="6"/>
  <c r="S113" i="6"/>
  <c r="R113" i="6"/>
  <c r="M113" i="6"/>
  <c r="B113" i="6"/>
  <c r="S112" i="6"/>
  <c r="R112" i="6"/>
  <c r="M112" i="6"/>
  <c r="B112" i="6"/>
  <c r="S111" i="6"/>
  <c r="R111" i="6"/>
  <c r="M111" i="6"/>
  <c r="B111" i="6"/>
  <c r="S110" i="6"/>
  <c r="R110" i="6"/>
  <c r="M110" i="6"/>
  <c r="B110" i="6"/>
  <c r="S109" i="6"/>
  <c r="R109" i="6"/>
  <c r="M109" i="6"/>
  <c r="B109" i="6"/>
  <c r="S108" i="6"/>
  <c r="R108" i="6"/>
  <c r="M108" i="6"/>
  <c r="B108" i="6"/>
  <c r="S107" i="6"/>
  <c r="R107" i="6"/>
  <c r="M107" i="6"/>
  <c r="B107" i="6"/>
  <c r="S106" i="6"/>
  <c r="R106" i="6"/>
  <c r="M106" i="6"/>
  <c r="B106" i="6"/>
  <c r="S105" i="6"/>
  <c r="R105" i="6"/>
  <c r="M105" i="6"/>
  <c r="B105" i="6"/>
  <c r="S104" i="6"/>
  <c r="R104" i="6"/>
  <c r="M104" i="6"/>
  <c r="B104" i="6"/>
  <c r="S103" i="6"/>
  <c r="R103" i="6"/>
  <c r="M103" i="6"/>
  <c r="B103" i="6"/>
  <c r="S102" i="6"/>
  <c r="R102" i="6"/>
  <c r="M102" i="6"/>
  <c r="B102" i="6"/>
  <c r="S101" i="6"/>
  <c r="R101" i="6"/>
  <c r="M101" i="6"/>
  <c r="B101" i="6"/>
  <c r="S100" i="6"/>
  <c r="R100" i="6"/>
  <c r="M100" i="6"/>
  <c r="B100" i="6"/>
  <c r="S99" i="6"/>
  <c r="R99" i="6"/>
  <c r="M99" i="6"/>
  <c r="B99" i="6"/>
  <c r="S98" i="6"/>
  <c r="R98" i="6"/>
  <c r="M98" i="6"/>
  <c r="B98" i="6"/>
  <c r="S97" i="6"/>
  <c r="R97" i="6"/>
  <c r="M97" i="6"/>
  <c r="B97" i="6"/>
  <c r="S96" i="6"/>
  <c r="R96" i="6"/>
  <c r="M96" i="6"/>
  <c r="B96" i="6"/>
  <c r="S95" i="6"/>
  <c r="R95" i="6"/>
  <c r="M95" i="6"/>
  <c r="B95" i="6"/>
  <c r="S94" i="6"/>
  <c r="R94" i="6"/>
  <c r="M94" i="6"/>
  <c r="B94" i="6"/>
  <c r="S93" i="6"/>
  <c r="R93" i="6"/>
  <c r="M93" i="6"/>
  <c r="B93" i="6"/>
  <c r="S92" i="6"/>
  <c r="R92" i="6"/>
  <c r="M92" i="6"/>
  <c r="B92" i="6"/>
  <c r="S91" i="6"/>
  <c r="R91" i="6"/>
  <c r="M91" i="6"/>
  <c r="B91" i="6"/>
  <c r="S90" i="6"/>
  <c r="R90" i="6"/>
  <c r="M90" i="6"/>
  <c r="B90" i="6"/>
  <c r="S89" i="6"/>
  <c r="R89" i="6"/>
  <c r="M89" i="6"/>
  <c r="B89" i="6"/>
  <c r="S88" i="6"/>
  <c r="R88" i="6"/>
  <c r="M88" i="6"/>
  <c r="B88" i="6"/>
  <c r="S87" i="6"/>
  <c r="R87" i="6"/>
  <c r="M87" i="6"/>
  <c r="B87" i="6"/>
  <c r="S86" i="6"/>
  <c r="R86" i="6"/>
  <c r="M86" i="6"/>
  <c r="B86" i="6"/>
  <c r="S85" i="6"/>
  <c r="R85" i="6"/>
  <c r="M85" i="6"/>
  <c r="B85" i="6"/>
  <c r="S84" i="6"/>
  <c r="R84" i="6"/>
  <c r="M84" i="6"/>
  <c r="B84" i="6"/>
  <c r="S83" i="6"/>
  <c r="R83" i="6"/>
  <c r="M83" i="6"/>
  <c r="B83" i="6"/>
  <c r="S82" i="6"/>
  <c r="R82" i="6"/>
  <c r="M82" i="6"/>
  <c r="B82" i="6"/>
  <c r="S81" i="6"/>
  <c r="R81" i="6"/>
  <c r="M81" i="6"/>
  <c r="B81" i="6"/>
  <c r="S80" i="6"/>
  <c r="R80" i="6"/>
  <c r="M80" i="6"/>
  <c r="B80" i="6"/>
  <c r="S79" i="6"/>
  <c r="R79" i="6"/>
  <c r="M79" i="6"/>
  <c r="B79" i="6"/>
  <c r="S78" i="6"/>
  <c r="R78" i="6"/>
  <c r="M78" i="6"/>
  <c r="B78" i="6"/>
  <c r="S77" i="6"/>
  <c r="R77" i="6"/>
  <c r="M77" i="6"/>
  <c r="B77" i="6"/>
  <c r="S76" i="6"/>
  <c r="R76" i="6"/>
  <c r="M76" i="6"/>
  <c r="B76" i="6"/>
  <c r="S75" i="6"/>
  <c r="R75" i="6"/>
  <c r="M75" i="6"/>
  <c r="B75" i="6"/>
  <c r="S74" i="6"/>
  <c r="R74" i="6"/>
  <c r="M74" i="6"/>
  <c r="B74" i="6"/>
  <c r="S73" i="6"/>
  <c r="R73" i="6"/>
  <c r="M73" i="6"/>
  <c r="B73" i="6"/>
  <c r="S72" i="6"/>
  <c r="R72" i="6"/>
  <c r="M72" i="6"/>
  <c r="B72" i="6"/>
  <c r="S71" i="6"/>
  <c r="R71" i="6"/>
  <c r="M71" i="6"/>
  <c r="B71" i="6"/>
  <c r="S70" i="6"/>
  <c r="R70" i="6"/>
  <c r="M70" i="6"/>
  <c r="B70" i="6"/>
  <c r="S69" i="6"/>
  <c r="R69" i="6"/>
  <c r="M69" i="6"/>
  <c r="B69" i="6"/>
  <c r="S68" i="6"/>
  <c r="R68" i="6"/>
  <c r="M68" i="6"/>
  <c r="B68" i="6"/>
  <c r="S67" i="6"/>
  <c r="R67" i="6"/>
  <c r="M67" i="6"/>
  <c r="B67" i="6"/>
  <c r="S66" i="6"/>
  <c r="R66" i="6"/>
  <c r="M66" i="6"/>
  <c r="B66" i="6"/>
  <c r="S65" i="6"/>
  <c r="R65" i="6"/>
  <c r="M65" i="6"/>
  <c r="B65" i="6"/>
  <c r="S64" i="6"/>
  <c r="R64" i="6"/>
  <c r="M64" i="6"/>
  <c r="B64" i="6"/>
  <c r="S63" i="6"/>
  <c r="R63" i="6"/>
  <c r="M63" i="6"/>
  <c r="B63" i="6"/>
  <c r="S62" i="6"/>
  <c r="R62" i="6"/>
  <c r="M62" i="6"/>
  <c r="B62" i="6"/>
  <c r="S61" i="6"/>
  <c r="R61" i="6"/>
  <c r="M61" i="6"/>
  <c r="B61" i="6"/>
  <c r="S60" i="6"/>
  <c r="R60" i="6"/>
  <c r="M60" i="6"/>
  <c r="B60" i="6"/>
  <c r="S59" i="6"/>
  <c r="R59" i="6"/>
  <c r="M59" i="6"/>
  <c r="B59" i="6"/>
  <c r="S58" i="6"/>
  <c r="R58" i="6"/>
  <c r="M58" i="6"/>
  <c r="B58" i="6"/>
  <c r="S57" i="6"/>
  <c r="R57" i="6"/>
  <c r="M57" i="6"/>
  <c r="B57" i="6"/>
  <c r="S56" i="6"/>
  <c r="R56" i="6"/>
  <c r="M56" i="6"/>
  <c r="B56" i="6"/>
  <c r="S55" i="6"/>
  <c r="R55" i="6"/>
  <c r="M55" i="6"/>
  <c r="B55" i="6"/>
  <c r="S54" i="6"/>
  <c r="R54" i="6"/>
  <c r="M54" i="6"/>
  <c r="B54" i="6"/>
  <c r="S53" i="6"/>
  <c r="R53" i="6"/>
  <c r="M53" i="6"/>
  <c r="B53" i="6"/>
  <c r="S52" i="6"/>
  <c r="R52" i="6"/>
  <c r="M52" i="6"/>
  <c r="B52" i="6"/>
  <c r="S51" i="6"/>
  <c r="R51" i="6"/>
  <c r="M51" i="6"/>
  <c r="B51" i="6"/>
  <c r="S50" i="6"/>
  <c r="R50" i="6"/>
  <c r="M50" i="6"/>
  <c r="B50" i="6"/>
  <c r="S49" i="6"/>
  <c r="R49" i="6"/>
  <c r="M49" i="6"/>
  <c r="B49" i="6"/>
  <c r="S48" i="6"/>
  <c r="R48" i="6"/>
  <c r="M48" i="6"/>
  <c r="B48" i="6"/>
  <c r="S47" i="6"/>
  <c r="R47" i="6"/>
  <c r="M47" i="6"/>
  <c r="B47" i="6"/>
  <c r="S46" i="6"/>
  <c r="R46" i="6"/>
  <c r="M46" i="6"/>
  <c r="B46" i="6"/>
  <c r="S45" i="6"/>
  <c r="R45" i="6"/>
  <c r="M45" i="6"/>
  <c r="B45" i="6"/>
  <c r="S44" i="6"/>
  <c r="R44" i="6"/>
  <c r="M44" i="6"/>
  <c r="B44" i="6"/>
  <c r="S43" i="6"/>
  <c r="R43" i="6"/>
  <c r="M43" i="6"/>
  <c r="B43" i="6"/>
  <c r="S42" i="6"/>
  <c r="R42" i="6"/>
  <c r="M42" i="6"/>
  <c r="B42" i="6"/>
  <c r="S41" i="6"/>
  <c r="R41" i="6"/>
  <c r="M41" i="6"/>
  <c r="B41" i="6"/>
  <c r="S40" i="6"/>
  <c r="R40" i="6"/>
  <c r="M40" i="6"/>
  <c r="B40" i="6"/>
  <c r="S39" i="6"/>
  <c r="R39" i="6"/>
  <c r="M39" i="6"/>
  <c r="B39" i="6"/>
  <c r="S38" i="6"/>
  <c r="R38" i="6"/>
  <c r="M38" i="6"/>
  <c r="B38" i="6"/>
  <c r="S37" i="6"/>
  <c r="R37" i="6"/>
  <c r="M37" i="6"/>
  <c r="B37" i="6"/>
  <c r="S36" i="6"/>
  <c r="R36" i="6"/>
  <c r="M36" i="6"/>
  <c r="B36" i="6"/>
  <c r="S35" i="6"/>
  <c r="R35" i="6"/>
  <c r="M35" i="6"/>
  <c r="B35" i="6"/>
  <c r="S34" i="6"/>
  <c r="R34" i="6"/>
  <c r="M34" i="6"/>
  <c r="B34" i="6"/>
  <c r="S33" i="6"/>
  <c r="R33" i="6"/>
  <c r="M33" i="6"/>
  <c r="B33" i="6"/>
  <c r="S32" i="6"/>
  <c r="R32" i="6"/>
  <c r="M32" i="6"/>
  <c r="B32" i="6"/>
  <c r="S31" i="6"/>
  <c r="R31" i="6"/>
  <c r="M31" i="6"/>
  <c r="B31" i="6"/>
  <c r="S30" i="6"/>
  <c r="R30" i="6"/>
  <c r="M30" i="6"/>
  <c r="B30" i="6"/>
  <c r="S29" i="6"/>
  <c r="R29" i="6"/>
  <c r="M29" i="6"/>
  <c r="B29" i="6"/>
  <c r="S28" i="6"/>
  <c r="R28" i="6"/>
  <c r="M28" i="6"/>
  <c r="B28" i="6"/>
  <c r="S27" i="6"/>
  <c r="R27" i="6"/>
  <c r="M27" i="6"/>
  <c r="B27" i="6"/>
  <c r="S26" i="6"/>
  <c r="Q26" i="6" s="1"/>
  <c r="R26" i="6"/>
  <c r="M26" i="6"/>
  <c r="B26" i="6"/>
  <c r="S25" i="6"/>
  <c r="R25" i="6"/>
  <c r="M25" i="6"/>
  <c r="B25" i="6"/>
  <c r="S24" i="6"/>
  <c r="R24" i="6"/>
  <c r="M24" i="6"/>
  <c r="B24" i="6"/>
  <c r="S23" i="6"/>
  <c r="R23" i="6"/>
  <c r="M23" i="6"/>
  <c r="B23" i="6"/>
  <c r="S22" i="6"/>
  <c r="R22" i="6"/>
  <c r="M22" i="6"/>
  <c r="B22" i="6"/>
  <c r="S21" i="6"/>
  <c r="R21" i="6"/>
  <c r="M21" i="6"/>
  <c r="B21" i="6"/>
  <c r="S20" i="6"/>
  <c r="R20" i="6"/>
  <c r="M20" i="6"/>
  <c r="B20" i="6"/>
  <c r="S19" i="6"/>
  <c r="R19" i="6"/>
  <c r="M19" i="6"/>
  <c r="B19" i="6"/>
  <c r="S18" i="6"/>
  <c r="R18" i="6"/>
  <c r="M18" i="6"/>
  <c r="B18" i="6"/>
  <c r="S17" i="6"/>
  <c r="R17" i="6"/>
  <c r="M17" i="6"/>
  <c r="B17" i="6"/>
  <c r="S16" i="6"/>
  <c r="R16" i="6"/>
  <c r="M16" i="6"/>
  <c r="B16" i="6"/>
  <c r="S15" i="6"/>
  <c r="R15" i="6"/>
  <c r="M15" i="6"/>
  <c r="B15" i="6"/>
  <c r="S14" i="6"/>
  <c r="R14" i="6"/>
  <c r="M14" i="6"/>
  <c r="B14" i="6"/>
  <c r="S13" i="6"/>
  <c r="R13" i="6"/>
  <c r="M13" i="6"/>
  <c r="B13" i="6"/>
  <c r="S12" i="6"/>
  <c r="R12" i="6"/>
  <c r="M12" i="6"/>
  <c r="B12" i="6"/>
  <c r="S11" i="6"/>
  <c r="R11" i="6"/>
  <c r="M11" i="6"/>
  <c r="B11" i="6"/>
  <c r="S10" i="6"/>
  <c r="R10" i="6"/>
  <c r="M10" i="6"/>
  <c r="B10" i="6"/>
  <c r="O9" i="6"/>
  <c r="P11" i="6" s="1"/>
  <c r="M11" i="1"/>
  <c r="M12" i="1"/>
  <c r="M13" i="1"/>
  <c r="M16" i="1"/>
  <c r="M17" i="1"/>
  <c r="M18" i="1"/>
  <c r="M19" i="1"/>
  <c r="M20" i="1"/>
  <c r="M21" i="1"/>
  <c r="M22" i="1"/>
  <c r="M23" i="1"/>
  <c r="M24" i="1"/>
  <c r="M25" i="1"/>
  <c r="M29" i="1"/>
  <c r="M30" i="1"/>
  <c r="M31" i="1"/>
  <c r="M32" i="1"/>
  <c r="M33" i="1"/>
  <c r="M34" i="1"/>
  <c r="M35" i="1"/>
  <c r="M36" i="1"/>
  <c r="M37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4" i="1"/>
  <c r="M65" i="1"/>
  <c r="M66" i="1"/>
  <c r="M67" i="1"/>
  <c r="M68" i="1"/>
  <c r="M69" i="1"/>
  <c r="M70" i="1"/>
  <c r="M71" i="1"/>
  <c r="M72" i="1"/>
  <c r="M73" i="1"/>
  <c r="M77" i="1"/>
  <c r="M78" i="1"/>
  <c r="M79" i="1"/>
  <c r="M80" i="1"/>
  <c r="M81" i="1"/>
  <c r="M82" i="1"/>
  <c r="M83" i="1"/>
  <c r="M84" i="1"/>
  <c r="M85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3" i="1"/>
  <c r="M114" i="1"/>
  <c r="M115" i="1"/>
  <c r="M116" i="1"/>
  <c r="M117" i="1"/>
  <c r="M118" i="1"/>
  <c r="M119" i="1"/>
  <c r="M120" i="1"/>
  <c r="M121" i="1"/>
  <c r="M124" i="1"/>
  <c r="M125" i="1"/>
  <c r="M126" i="1"/>
  <c r="M127" i="1"/>
  <c r="M128" i="1"/>
  <c r="M129" i="1"/>
  <c r="M130" i="1"/>
  <c r="M131" i="1"/>
  <c r="M132" i="1"/>
  <c r="M133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0" i="1"/>
  <c r="S158" i="1"/>
  <c r="S159" i="1"/>
  <c r="S160" i="1"/>
  <c r="S161" i="1"/>
  <c r="M14" i="1"/>
  <c r="M15" i="1"/>
  <c r="M26" i="1"/>
  <c r="M27" i="1"/>
  <c r="M28" i="1"/>
  <c r="M38" i="1"/>
  <c r="M39" i="1"/>
  <c r="M40" i="1"/>
  <c r="M62" i="1"/>
  <c r="M63" i="1"/>
  <c r="M74" i="1"/>
  <c r="M75" i="1"/>
  <c r="M76" i="1"/>
  <c r="M86" i="1"/>
  <c r="M87" i="1"/>
  <c r="M110" i="1"/>
  <c r="M111" i="1"/>
  <c r="M112" i="1"/>
  <c r="M122" i="1"/>
  <c r="M123" i="1"/>
  <c r="M134" i="1"/>
  <c r="M135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J5" i="6"/>
  <c r="O1" i="6"/>
  <c r="F6" i="6"/>
  <c r="Q6" i="6"/>
  <c r="Q5" i="6"/>
  <c r="AF122" i="6" l="1"/>
  <c r="AF110" i="6"/>
  <c r="AE94" i="6"/>
  <c r="P25" i="6"/>
  <c r="Q25" i="6" s="1"/>
  <c r="P14" i="6"/>
  <c r="Q14" i="6" s="1"/>
  <c r="P41" i="6"/>
  <c r="Q41" i="6" s="1"/>
  <c r="P89" i="6"/>
  <c r="Q89" i="6" s="1"/>
  <c r="P10" i="6"/>
  <c r="Q10" i="6" s="1"/>
  <c r="P49" i="6"/>
  <c r="Q49" i="6" s="1"/>
  <c r="P73" i="6"/>
  <c r="Q73" i="6" s="1"/>
  <c r="P15" i="6"/>
  <c r="Q15" i="6" s="1"/>
  <c r="P33" i="6"/>
  <c r="Q33" i="6" s="1"/>
  <c r="P81" i="6"/>
  <c r="Q81" i="6" s="1"/>
  <c r="P57" i="6"/>
  <c r="Q57" i="6" s="1"/>
  <c r="P100" i="6"/>
  <c r="Q100" i="6" s="1"/>
  <c r="P121" i="6"/>
  <c r="Q121" i="6" s="1"/>
  <c r="P13" i="6"/>
  <c r="Q13" i="6" s="1"/>
  <c r="P38" i="6"/>
  <c r="Q38" i="6" s="1"/>
  <c r="P63" i="6"/>
  <c r="Q63" i="6" s="1"/>
  <c r="P94" i="6"/>
  <c r="Q94" i="6" s="1"/>
  <c r="P103" i="6"/>
  <c r="Q103" i="6" s="1"/>
  <c r="P109" i="6"/>
  <c r="Q109" i="6" s="1"/>
  <c r="P115" i="6"/>
  <c r="Q115" i="6" s="1"/>
  <c r="P127" i="6"/>
  <c r="Q127" i="6" s="1"/>
  <c r="P130" i="6"/>
  <c r="Q130" i="6" s="1"/>
  <c r="P139" i="6"/>
  <c r="Q139" i="6" s="1"/>
  <c r="P145" i="6"/>
  <c r="Q145" i="6" s="1"/>
  <c r="P151" i="6"/>
  <c r="Q151" i="6" s="1"/>
  <c r="P21" i="6"/>
  <c r="Q21" i="6" s="1"/>
  <c r="P44" i="6"/>
  <c r="Q44" i="6" s="1"/>
  <c r="P47" i="6"/>
  <c r="Q47" i="6" s="1"/>
  <c r="P61" i="6"/>
  <c r="Q61" i="6" s="1"/>
  <c r="P75" i="6"/>
  <c r="Q75" i="6" s="1"/>
  <c r="P78" i="6"/>
  <c r="Q78" i="6" s="1"/>
  <c r="P92" i="6"/>
  <c r="Q92" i="6" s="1"/>
  <c r="P95" i="6"/>
  <c r="Q95" i="6" s="1"/>
  <c r="P97" i="6"/>
  <c r="Q97" i="6" s="1"/>
  <c r="P112" i="6"/>
  <c r="Q112" i="6" s="1"/>
  <c r="P124" i="6"/>
  <c r="Q124" i="6" s="1"/>
  <c r="P136" i="6"/>
  <c r="Q136" i="6" s="1"/>
  <c r="P148" i="6"/>
  <c r="P52" i="6"/>
  <c r="Q52" i="6" s="1"/>
  <c r="P27" i="6"/>
  <c r="Q27" i="6" s="1"/>
  <c r="P29" i="6"/>
  <c r="Q29" i="6" s="1"/>
  <c r="P43" i="6"/>
  <c r="Q43" i="6" s="1"/>
  <c r="P46" i="6"/>
  <c r="Q46" i="6" s="1"/>
  <c r="P60" i="6"/>
  <c r="Q60" i="6" s="1"/>
  <c r="P77" i="6"/>
  <c r="Q77" i="6" s="1"/>
  <c r="P91" i="6"/>
  <c r="Q91" i="6" s="1"/>
  <c r="P106" i="6"/>
  <c r="Q106" i="6" s="1"/>
  <c r="P118" i="6"/>
  <c r="Q118" i="6" s="1"/>
  <c r="P133" i="6"/>
  <c r="Q133" i="6" s="1"/>
  <c r="P142" i="6"/>
  <c r="Q142" i="6" s="1"/>
  <c r="P154" i="6"/>
  <c r="Q154" i="6" s="1"/>
  <c r="P35" i="6"/>
  <c r="Q35" i="6" s="1"/>
  <c r="P55" i="6"/>
  <c r="Q55" i="6" s="1"/>
  <c r="P69" i="6"/>
  <c r="Q69" i="6" s="1"/>
  <c r="P83" i="6"/>
  <c r="Q83" i="6" s="1"/>
  <c r="P86" i="6"/>
  <c r="Q86" i="6" s="1"/>
  <c r="P30" i="6"/>
  <c r="Q30" i="6" s="1"/>
  <c r="P19" i="6"/>
  <c r="Q19" i="6" s="1"/>
  <c r="P22" i="6"/>
  <c r="Q22" i="6" s="1"/>
  <c r="P36" i="6"/>
  <c r="Q36" i="6" s="1"/>
  <c r="P39" i="6"/>
  <c r="Q39" i="6" s="1"/>
  <c r="P53" i="6"/>
  <c r="Q53" i="6" s="1"/>
  <c r="P67" i="6"/>
  <c r="Q67" i="6" s="1"/>
  <c r="P70" i="6"/>
  <c r="Q70" i="6" s="1"/>
  <c r="P84" i="6"/>
  <c r="Q84" i="6" s="1"/>
  <c r="P87" i="6"/>
  <c r="Q87" i="6" s="1"/>
  <c r="Q11" i="6"/>
  <c r="P28" i="6"/>
  <c r="Q28" i="6" s="1"/>
  <c r="P31" i="6"/>
  <c r="Q31" i="6" s="1"/>
  <c r="P45" i="6"/>
  <c r="Q45" i="6" s="1"/>
  <c r="P59" i="6"/>
  <c r="Q59" i="6" s="1"/>
  <c r="P62" i="6"/>
  <c r="Q62" i="6" s="1"/>
  <c r="P76" i="6"/>
  <c r="Q76" i="6" s="1"/>
  <c r="P79" i="6"/>
  <c r="Q79" i="6" s="1"/>
  <c r="P93" i="6"/>
  <c r="Q93" i="6" s="1"/>
  <c r="P17" i="6"/>
  <c r="Q17" i="6" s="1"/>
  <c r="P65" i="6"/>
  <c r="Q65" i="6" s="1"/>
  <c r="P12" i="6"/>
  <c r="Q12" i="6" s="1"/>
  <c r="P20" i="6"/>
  <c r="Q20" i="6" s="1"/>
  <c r="P23" i="6"/>
  <c r="Q23" i="6" s="1"/>
  <c r="P37" i="6"/>
  <c r="Q37" i="6" s="1"/>
  <c r="P51" i="6"/>
  <c r="Q51" i="6" s="1"/>
  <c r="P54" i="6"/>
  <c r="Q54" i="6" s="1"/>
  <c r="P68" i="6"/>
  <c r="Q68" i="6" s="1"/>
  <c r="P71" i="6"/>
  <c r="Q71" i="6" s="1"/>
  <c r="P85" i="6"/>
  <c r="Q85" i="6" s="1"/>
  <c r="P107" i="6"/>
  <c r="Q107" i="6" s="1"/>
  <c r="P122" i="6"/>
  <c r="Q122" i="6" s="1"/>
  <c r="P137" i="6"/>
  <c r="Q137" i="6" s="1"/>
  <c r="P155" i="6"/>
  <c r="Q155" i="6" s="1"/>
  <c r="P50" i="6"/>
  <c r="Q50" i="6" s="1"/>
  <c r="P98" i="6"/>
  <c r="Q98" i="6" s="1"/>
  <c r="P116" i="6"/>
  <c r="Q116" i="6" s="1"/>
  <c r="P131" i="6"/>
  <c r="Q131" i="6" s="1"/>
  <c r="P146" i="6"/>
  <c r="Q146" i="6" s="1"/>
  <c r="P26" i="6"/>
  <c r="P74" i="6"/>
  <c r="Q74" i="6" s="1"/>
  <c r="P104" i="6"/>
  <c r="Q104" i="6" s="1"/>
  <c r="P110" i="6"/>
  <c r="Q110" i="6" s="1"/>
  <c r="P119" i="6"/>
  <c r="Q119" i="6" s="1"/>
  <c r="P125" i="6"/>
  <c r="Q125" i="6" s="1"/>
  <c r="P134" i="6"/>
  <c r="Q134" i="6" s="1"/>
  <c r="P143" i="6"/>
  <c r="Q143" i="6" s="1"/>
  <c r="P149" i="6"/>
  <c r="Q149" i="6" s="1"/>
  <c r="P34" i="6"/>
  <c r="Q34" i="6" s="1"/>
  <c r="P42" i="6"/>
  <c r="Q42" i="6" s="1"/>
  <c r="P66" i="6"/>
  <c r="Q66" i="6" s="1"/>
  <c r="P90" i="6"/>
  <c r="Q90" i="6" s="1"/>
  <c r="P16" i="6"/>
  <c r="Q16" i="6" s="1"/>
  <c r="P24" i="6"/>
  <c r="Q24" i="6" s="1"/>
  <c r="P32" i="6"/>
  <c r="Q32" i="6" s="1"/>
  <c r="P40" i="6"/>
  <c r="Q40" i="6" s="1"/>
  <c r="P48" i="6"/>
  <c r="Q48" i="6" s="1"/>
  <c r="P56" i="6"/>
  <c r="Q56" i="6" s="1"/>
  <c r="P64" i="6"/>
  <c r="Q64" i="6" s="1"/>
  <c r="P72" i="6"/>
  <c r="Q72" i="6" s="1"/>
  <c r="P80" i="6"/>
  <c r="Q80" i="6" s="1"/>
  <c r="P88" i="6"/>
  <c r="Q88" i="6" s="1"/>
  <c r="P96" i="6"/>
  <c r="Q96" i="6" s="1"/>
  <c r="P99" i="6"/>
  <c r="Q99" i="6" s="1"/>
  <c r="P102" i="6"/>
  <c r="Q102" i="6" s="1"/>
  <c r="P105" i="6"/>
  <c r="Q105" i="6" s="1"/>
  <c r="P108" i="6"/>
  <c r="Q108" i="6" s="1"/>
  <c r="P111" i="6"/>
  <c r="Q111" i="6" s="1"/>
  <c r="P114" i="6"/>
  <c r="Q114" i="6" s="1"/>
  <c r="P117" i="6"/>
  <c r="Q117" i="6" s="1"/>
  <c r="P120" i="6"/>
  <c r="Q120" i="6" s="1"/>
  <c r="P123" i="6"/>
  <c r="Q123" i="6" s="1"/>
  <c r="P126" i="6"/>
  <c r="Q126" i="6" s="1"/>
  <c r="P129" i="6"/>
  <c r="Q129" i="6" s="1"/>
  <c r="P132" i="6"/>
  <c r="Q132" i="6" s="1"/>
  <c r="P135" i="6"/>
  <c r="Q135" i="6" s="1"/>
  <c r="P138" i="6"/>
  <c r="Q138" i="6" s="1"/>
  <c r="P141" i="6"/>
  <c r="Q141" i="6" s="1"/>
  <c r="P144" i="6"/>
  <c r="Q144" i="6" s="1"/>
  <c r="P147" i="6"/>
  <c r="Q147" i="6" s="1"/>
  <c r="P150" i="6"/>
  <c r="Q150" i="6" s="1"/>
  <c r="P153" i="6"/>
  <c r="Q153" i="6" s="1"/>
  <c r="P101" i="6"/>
  <c r="Q101" i="6" s="1"/>
  <c r="P113" i="6"/>
  <c r="Q113" i="6" s="1"/>
  <c r="P128" i="6"/>
  <c r="Q128" i="6" s="1"/>
  <c r="P140" i="6"/>
  <c r="Q140" i="6" s="1"/>
  <c r="P152" i="6"/>
  <c r="Q152" i="6" s="1"/>
  <c r="P18" i="6"/>
  <c r="Q18" i="6" s="1"/>
  <c r="P58" i="6"/>
  <c r="Q58" i="6" s="1"/>
  <c r="P82" i="6"/>
  <c r="Q82" i="6" s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Q5" i="1"/>
  <c r="J5" i="1"/>
  <c r="O9" i="1" l="1"/>
  <c r="P27" i="1" l="1"/>
  <c r="Q27" i="1" s="1"/>
  <c r="P51" i="1"/>
  <c r="Q51" i="1" s="1"/>
  <c r="P10" i="1"/>
  <c r="Q10" i="1" s="1"/>
  <c r="P26" i="1"/>
  <c r="Q26" i="1" s="1"/>
  <c r="P50" i="1"/>
  <c r="Q50" i="1" s="1"/>
  <c r="P84" i="1"/>
  <c r="Q84" i="1" s="1"/>
  <c r="P67" i="1"/>
  <c r="Q67" i="1" s="1"/>
  <c r="P91" i="1"/>
  <c r="Q91" i="1" s="1"/>
  <c r="P115" i="1"/>
  <c r="Q115" i="1" s="1"/>
  <c r="P98" i="1"/>
  <c r="Q98" i="1" s="1"/>
  <c r="P122" i="1"/>
  <c r="Q122" i="1" s="1"/>
  <c r="P142" i="1"/>
  <c r="Q142" i="1" s="1"/>
  <c r="P21" i="1"/>
  <c r="Q21" i="1" s="1"/>
  <c r="P29" i="1"/>
  <c r="Q29" i="1" s="1"/>
  <c r="P37" i="1"/>
  <c r="Q37" i="1" s="1"/>
  <c r="P45" i="1"/>
  <c r="Q45" i="1" s="1"/>
  <c r="P53" i="1"/>
  <c r="Q53" i="1" s="1"/>
  <c r="P11" i="1"/>
  <c r="Q11" i="1" s="1"/>
  <c r="P15" i="1"/>
  <c r="Q15" i="1" s="1"/>
  <c r="P20" i="1"/>
  <c r="Q20" i="1" s="1"/>
  <c r="P28" i="1"/>
  <c r="Q28" i="1" s="1"/>
  <c r="P36" i="1"/>
  <c r="Q36" i="1" s="1"/>
  <c r="P44" i="1"/>
  <c r="Q44" i="1" s="1"/>
  <c r="P52" i="1"/>
  <c r="Q52" i="1" s="1"/>
  <c r="P70" i="1"/>
  <c r="Q70" i="1" s="1"/>
  <c r="P78" i="1"/>
  <c r="Q78" i="1" s="1"/>
  <c r="P86" i="1"/>
  <c r="Q86" i="1" s="1"/>
  <c r="P59" i="1"/>
  <c r="Q59" i="1" s="1"/>
  <c r="P63" i="1"/>
  <c r="Q63" i="1" s="1"/>
  <c r="P69" i="1"/>
  <c r="Q69" i="1" s="1"/>
  <c r="P77" i="1"/>
  <c r="Q77" i="1" s="1"/>
  <c r="P85" i="1"/>
  <c r="Q85" i="1" s="1"/>
  <c r="P93" i="1"/>
  <c r="Q93" i="1" s="1"/>
  <c r="P101" i="1"/>
  <c r="Q101" i="1" s="1"/>
  <c r="P109" i="1"/>
  <c r="Q109" i="1" s="1"/>
  <c r="P117" i="1"/>
  <c r="Q117" i="1" s="1"/>
  <c r="P125" i="1"/>
  <c r="Q125" i="1" s="1"/>
  <c r="P92" i="1"/>
  <c r="Q92" i="1" s="1"/>
  <c r="P100" i="1"/>
  <c r="Q100" i="1" s="1"/>
  <c r="P108" i="1"/>
  <c r="Q108" i="1" s="1"/>
  <c r="P116" i="1"/>
  <c r="Q116" i="1" s="1"/>
  <c r="P124" i="1"/>
  <c r="Q124" i="1" s="1"/>
  <c r="P154" i="1"/>
  <c r="Q154" i="1" s="1"/>
  <c r="P19" i="1"/>
  <c r="Q19" i="1" s="1"/>
  <c r="P43" i="1"/>
  <c r="Q43" i="1" s="1"/>
  <c r="P18" i="1"/>
  <c r="Q18" i="1" s="1"/>
  <c r="P42" i="1"/>
  <c r="Q42" i="1" s="1"/>
  <c r="P76" i="1"/>
  <c r="Q76" i="1" s="1"/>
  <c r="P62" i="1"/>
  <c r="Q62" i="1" s="1"/>
  <c r="P83" i="1"/>
  <c r="Q83" i="1" s="1"/>
  <c r="P107" i="1"/>
  <c r="Q107" i="1" s="1"/>
  <c r="P90" i="1"/>
  <c r="Q90" i="1" s="1"/>
  <c r="P106" i="1"/>
  <c r="Q106" i="1" s="1"/>
  <c r="P130" i="1"/>
  <c r="Q130" i="1" s="1"/>
  <c r="P146" i="1"/>
  <c r="Q146" i="1" s="1"/>
  <c r="P23" i="1"/>
  <c r="Q23" i="1" s="1"/>
  <c r="P31" i="1"/>
  <c r="Q31" i="1" s="1"/>
  <c r="P39" i="1"/>
  <c r="Q39" i="1" s="1"/>
  <c r="P47" i="1"/>
  <c r="Q47" i="1" s="1"/>
  <c r="P55" i="1"/>
  <c r="Q55" i="1" s="1"/>
  <c r="P12" i="1"/>
  <c r="Q12" i="1" s="1"/>
  <c r="P16" i="1"/>
  <c r="Q16" i="1" s="1"/>
  <c r="P22" i="1"/>
  <c r="Q22" i="1" s="1"/>
  <c r="P30" i="1"/>
  <c r="Q30" i="1" s="1"/>
  <c r="P38" i="1"/>
  <c r="Q38" i="1" s="1"/>
  <c r="P46" i="1"/>
  <c r="Q46" i="1" s="1"/>
  <c r="P54" i="1"/>
  <c r="Q54" i="1" s="1"/>
  <c r="P72" i="1"/>
  <c r="Q72" i="1" s="1"/>
  <c r="P80" i="1"/>
  <c r="Q80" i="1" s="1"/>
  <c r="P56" i="1"/>
  <c r="Q56" i="1" s="1"/>
  <c r="P60" i="1"/>
  <c r="Q60" i="1" s="1"/>
  <c r="P64" i="1"/>
  <c r="Q64" i="1" s="1"/>
  <c r="P71" i="1"/>
  <c r="Q71" i="1" s="1"/>
  <c r="P79" i="1"/>
  <c r="Q79" i="1" s="1"/>
  <c r="P87" i="1"/>
  <c r="Q87" i="1" s="1"/>
  <c r="P95" i="1"/>
  <c r="Q95" i="1" s="1"/>
  <c r="P103" i="1"/>
  <c r="Q103" i="1" s="1"/>
  <c r="P111" i="1"/>
  <c r="Q111" i="1" s="1"/>
  <c r="P119" i="1"/>
  <c r="Q119" i="1" s="1"/>
  <c r="P127" i="1"/>
  <c r="Q127" i="1" s="1"/>
  <c r="P94" i="1"/>
  <c r="Q94" i="1" s="1"/>
  <c r="P102" i="1"/>
  <c r="Q102" i="1" s="1"/>
  <c r="P110" i="1"/>
  <c r="Q110" i="1" s="1"/>
  <c r="P118" i="1"/>
  <c r="Q118" i="1" s="1"/>
  <c r="P126" i="1"/>
  <c r="Q126" i="1" s="1"/>
  <c r="P138" i="1"/>
  <c r="Q138" i="1" s="1"/>
  <c r="P35" i="1"/>
  <c r="Q35" i="1" s="1"/>
  <c r="P14" i="1"/>
  <c r="Q14" i="1" s="1"/>
  <c r="P34" i="1"/>
  <c r="Q34" i="1" s="1"/>
  <c r="P68" i="1"/>
  <c r="Q68" i="1" s="1"/>
  <c r="P58" i="1"/>
  <c r="Q58" i="1" s="1"/>
  <c r="P75" i="1"/>
  <c r="Q75" i="1" s="1"/>
  <c r="P99" i="1"/>
  <c r="Q99" i="1" s="1"/>
  <c r="P123" i="1"/>
  <c r="Q123" i="1" s="1"/>
  <c r="P114" i="1"/>
  <c r="Q114" i="1" s="1"/>
  <c r="P134" i="1"/>
  <c r="Q134" i="1" s="1"/>
  <c r="P150" i="1"/>
  <c r="Q150" i="1" s="1"/>
  <c r="P25" i="1"/>
  <c r="Q25" i="1" s="1"/>
  <c r="P33" i="1"/>
  <c r="Q33" i="1" s="1"/>
  <c r="P41" i="1"/>
  <c r="Q41" i="1" s="1"/>
  <c r="P49" i="1"/>
  <c r="Q49" i="1" s="1"/>
  <c r="P13" i="1"/>
  <c r="Q13" i="1" s="1"/>
  <c r="P17" i="1"/>
  <c r="Q17" i="1" s="1"/>
  <c r="P24" i="1"/>
  <c r="Q24" i="1" s="1"/>
  <c r="P32" i="1"/>
  <c r="Q32" i="1" s="1"/>
  <c r="P40" i="1"/>
  <c r="Q40" i="1" s="1"/>
  <c r="P48" i="1"/>
  <c r="Q48" i="1" s="1"/>
  <c r="P66" i="1"/>
  <c r="Q66" i="1" s="1"/>
  <c r="P74" i="1"/>
  <c r="Q74" i="1" s="1"/>
  <c r="P82" i="1"/>
  <c r="Q82" i="1" s="1"/>
  <c r="P57" i="1"/>
  <c r="Q57" i="1" s="1"/>
  <c r="P61" i="1"/>
  <c r="Q61" i="1" s="1"/>
  <c r="P65" i="1"/>
  <c r="Q65" i="1" s="1"/>
  <c r="P73" i="1"/>
  <c r="Q73" i="1" s="1"/>
  <c r="P81" i="1"/>
  <c r="Q81" i="1" s="1"/>
  <c r="P89" i="1"/>
  <c r="Q89" i="1" s="1"/>
  <c r="P97" i="1"/>
  <c r="Q97" i="1" s="1"/>
  <c r="P105" i="1"/>
  <c r="Q105" i="1" s="1"/>
  <c r="P113" i="1"/>
  <c r="Q113" i="1" s="1"/>
  <c r="P121" i="1"/>
  <c r="Q121" i="1" s="1"/>
  <c r="P88" i="1"/>
  <c r="Q88" i="1" s="1"/>
  <c r="P96" i="1"/>
  <c r="Q96" i="1" s="1"/>
  <c r="P104" i="1"/>
  <c r="Q104" i="1" s="1"/>
  <c r="P112" i="1"/>
  <c r="Q112" i="1" s="1"/>
  <c r="P120" i="1"/>
  <c r="Q120" i="1" s="1"/>
  <c r="P128" i="1"/>
  <c r="Q128" i="1" s="1"/>
  <c r="P131" i="1"/>
  <c r="Q131" i="1" s="1"/>
  <c r="P135" i="1"/>
  <c r="Q135" i="1" s="1"/>
  <c r="P139" i="1"/>
  <c r="Q139" i="1" s="1"/>
  <c r="P143" i="1"/>
  <c r="Q143" i="1" s="1"/>
  <c r="P147" i="1"/>
  <c r="Q147" i="1" s="1"/>
  <c r="P151" i="1"/>
  <c r="Q151" i="1" s="1"/>
  <c r="P155" i="1"/>
  <c r="Q155" i="1" s="1"/>
  <c r="P132" i="1"/>
  <c r="Q132" i="1" s="1"/>
  <c r="P136" i="1"/>
  <c r="Q136" i="1" s="1"/>
  <c r="P140" i="1"/>
  <c r="Q140" i="1" s="1"/>
  <c r="P144" i="1"/>
  <c r="Q144" i="1" s="1"/>
  <c r="P148" i="1"/>
  <c r="Q148" i="1" s="1"/>
  <c r="P152" i="1"/>
  <c r="Q152" i="1" s="1"/>
  <c r="P129" i="1"/>
  <c r="Q129" i="1" s="1"/>
  <c r="P133" i="1"/>
  <c r="Q133" i="1" s="1"/>
  <c r="P137" i="1"/>
  <c r="Q137" i="1" s="1"/>
  <c r="P141" i="1"/>
  <c r="Q141" i="1" s="1"/>
  <c r="P145" i="1"/>
  <c r="Q145" i="1" s="1"/>
  <c r="P149" i="1"/>
  <c r="Q149" i="1" s="1"/>
  <c r="P153" i="1"/>
  <c r="Q153" i="1" s="1"/>
  <c r="Q6" i="1"/>
  <c r="O1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<sst xmlns="http://schemas.openxmlformats.org/spreadsheetml/2006/main" count="4092" uniqueCount="668">
  <si>
    <t/>
  </si>
  <si>
    <t>611-A3</t>
  </si>
  <si>
    <t>601-A3</t>
  </si>
  <si>
    <t>603B-A3</t>
  </si>
  <si>
    <t>INT1303</t>
  </si>
  <si>
    <t>An toàn và bảo mật hệ thống thông tin</t>
  </si>
  <si>
    <t>masv</t>
  </si>
  <si>
    <t>GHI CHÚ</t>
  </si>
  <si>
    <t>PHÒNG THI:</t>
  </si>
  <si>
    <t>HỌC VIỆN CÔNG NGHỆ BƯU CHÍNH VIỄN THÔNG</t>
  </si>
  <si>
    <t>Học phần:</t>
  </si>
  <si>
    <t>Lớp</t>
  </si>
  <si>
    <t>Số tín chỉ:</t>
  </si>
  <si>
    <t xml:space="preserve">Ngày thi: </t>
  </si>
  <si>
    <t xml:space="preserve">Giờ thi: </t>
  </si>
  <si>
    <t>Số
TT</t>
  </si>
  <si>
    <t>Mã SV</t>
  </si>
  <si>
    <t>Họ và tên</t>
  </si>
  <si>
    <t>Điểm CC</t>
  </si>
  <si>
    <t>Điểm TBKT</t>
  </si>
  <si>
    <t>Điểm TN-TH</t>
  </si>
  <si>
    <t>Điểm BTTL</t>
  </si>
  <si>
    <t>Mã đề</t>
  </si>
  <si>
    <t>Điểm thi</t>
  </si>
  <si>
    <t>Ký tên</t>
  </si>
  <si>
    <t>Điểm
THI</t>
  </si>
  <si>
    <t>Điểm
KTHP</t>
  </si>
  <si>
    <t>Ghi chú</t>
  </si>
  <si>
    <t>Học phí</t>
  </si>
  <si>
    <t>Phòng thi</t>
  </si>
  <si>
    <t>Bằng
số</t>
  </si>
  <si>
    <t>Bằng
chữ</t>
  </si>
  <si>
    <t>Mã MH</t>
  </si>
  <si>
    <t>Trọng số:</t>
  </si>
  <si>
    <r>
      <t xml:space="preserve">TRƯỞNG BỘ MÔN
</t>
    </r>
    <r>
      <rPr>
        <i/>
        <sz val="11"/>
        <rFont val="Times New Roman"/>
        <family val="1"/>
      </rPr>
      <t>(Ký và ghi rõ họ tên)</t>
    </r>
  </si>
  <si>
    <t>17:30</t>
  </si>
  <si>
    <t>609-A3</t>
  </si>
  <si>
    <t>Thi lần 1 học kỳ II năm học 2023 - 2024</t>
  </si>
  <si>
    <t>Nhóm học</t>
  </si>
  <si>
    <t>Tổ  thi</t>
  </si>
  <si>
    <t>001</t>
  </si>
  <si>
    <t>002</t>
  </si>
  <si>
    <t>B21DCVT108</t>
  </si>
  <si>
    <t>B21DCVT137</t>
  </si>
  <si>
    <t>B21DCVT202</t>
  </si>
  <si>
    <t>B20DCVT190</t>
  </si>
  <si>
    <t>B21DCVT274</t>
  </si>
  <si>
    <t>B21DCVT447</t>
  </si>
  <si>
    <t>B19DCAT035</t>
  </si>
  <si>
    <t>B19DCAT131</t>
  </si>
  <si>
    <t>B17DCAT156</t>
  </si>
  <si>
    <t>B18DCCN042</t>
  </si>
  <si>
    <t>B19DCCN215</t>
  </si>
  <si>
    <t>B18DCCN535</t>
  </si>
  <si>
    <t>B19DCVT346</t>
  </si>
  <si>
    <t>B20DCDT145</t>
  </si>
  <si>
    <t>B20DCAT001</t>
  </si>
  <si>
    <t>B19DCCN600</t>
  </si>
  <si>
    <t>B20DCCN308</t>
  </si>
  <si>
    <t>B19DCAT093</t>
  </si>
  <si>
    <t>B19DCCN423</t>
  </si>
  <si>
    <t>B17DCAT124</t>
  </si>
  <si>
    <t>B19DCAT159</t>
  </si>
  <si>
    <t>B16DCCN312</t>
  </si>
  <si>
    <t>B20DCCN082</t>
  </si>
  <si>
    <t>B20DCAT156</t>
  </si>
  <si>
    <t>B17DCCN427</t>
  </si>
  <si>
    <t>B20DCDT061</t>
  </si>
  <si>
    <t>B19DCDT121</t>
  </si>
  <si>
    <t>B19DCDT127</t>
  </si>
  <si>
    <t>B19DCDT193</t>
  </si>
  <si>
    <t>B20DCCN439</t>
  </si>
  <si>
    <t>B17DCCN181</t>
  </si>
  <si>
    <t>B20DCVT416</t>
  </si>
  <si>
    <t>B19DCMR181</t>
  </si>
  <si>
    <t>B18DCCN532</t>
  </si>
  <si>
    <t>B20DCCN565</t>
  </si>
  <si>
    <t>B19DCAT181</t>
  </si>
  <si>
    <t>B20DCCN652</t>
  </si>
  <si>
    <t>B19DCQT177</t>
  </si>
  <si>
    <t>B18DCPT023</t>
  </si>
  <si>
    <t>B19DCDT035</t>
  </si>
  <si>
    <t>B20DCCN266</t>
  </si>
  <si>
    <t>B19DCDT087</t>
  </si>
  <si>
    <t>B16DCAT018</t>
  </si>
  <si>
    <t>B19DCCN699</t>
  </si>
  <si>
    <t>B20DCCN541</t>
  </si>
  <si>
    <t>B20DCCN164</t>
  </si>
  <si>
    <t>B20DCCN750</t>
  </si>
  <si>
    <t>B19DCCN235</t>
  </si>
  <si>
    <t>B19DCCN697</t>
  </si>
  <si>
    <t>B19DCCN401</t>
  </si>
  <si>
    <t>B21DCCN146</t>
  </si>
  <si>
    <t>B21DCCN310</t>
  </si>
  <si>
    <t>B21DCCN319</t>
  </si>
  <si>
    <t>B21DCCN083</t>
  </si>
  <si>
    <t>B21DCCN683</t>
  </si>
  <si>
    <t>B21DCCN690</t>
  </si>
  <si>
    <t>B21DCCN710</t>
  </si>
  <si>
    <t>B21DCCN726</t>
  </si>
  <si>
    <t>B21DCCN808</t>
  </si>
  <si>
    <t>B21DCCN217</t>
  </si>
  <si>
    <t>B21DCVT167</t>
  </si>
  <si>
    <t>B21DCCN307</t>
  </si>
  <si>
    <t>B21DCCN088</t>
  </si>
  <si>
    <t>B21DCCN563</t>
  </si>
  <si>
    <t>B21DCCN631</t>
  </si>
  <si>
    <t>B21DCCN707</t>
  </si>
  <si>
    <t>B21DCCN177</t>
  </si>
  <si>
    <t>B21DCCN623</t>
  </si>
  <si>
    <t>B21DCCN648</t>
  </si>
  <si>
    <t>B21DCCN715</t>
  </si>
  <si>
    <t>B21DCCN792</t>
  </si>
  <si>
    <t>B21DCPT064</t>
  </si>
  <si>
    <t>B21DCDT074</t>
  </si>
  <si>
    <t>B21DCCN480</t>
  </si>
  <si>
    <t>B21DCCN578</t>
  </si>
  <si>
    <t>B21DCDT241</t>
  </si>
  <si>
    <t>B21DCCN148</t>
  </si>
  <si>
    <t>B21DCCN208</t>
  </si>
  <si>
    <t>B21DCCN235</t>
  </si>
  <si>
    <t>B21DCCN076</t>
  </si>
  <si>
    <t>B21DCCN080</t>
  </si>
  <si>
    <t>B21DCCN716</t>
  </si>
  <si>
    <t>B21DCCN181</t>
  </si>
  <si>
    <t>B21DCCN032</t>
  </si>
  <si>
    <t>B21DCCN027</t>
  </si>
  <si>
    <t>B21DCCN229</t>
  </si>
  <si>
    <t>B21DCCN253</t>
  </si>
  <si>
    <t>B21DCCN487</t>
  </si>
  <si>
    <t>B21DCCN680</t>
  </si>
  <si>
    <t>B21DCCN116</t>
  </si>
  <si>
    <t>B21DCCN738</t>
  </si>
  <si>
    <t>B21DCCN800</t>
  </si>
  <si>
    <t>B21DCCN019</t>
  </si>
  <si>
    <t>B21DCCN252</t>
  </si>
  <si>
    <t>B21DCPT121</t>
  </si>
  <si>
    <t>B22DCKT092</t>
  </si>
  <si>
    <t>B21DCCN485</t>
  </si>
  <si>
    <t>B22DCKT221</t>
  </si>
  <si>
    <t>B21DCCN748</t>
  </si>
  <si>
    <t>B21DCDT242</t>
  </si>
  <si>
    <t>B21DCCN545</t>
  </si>
  <si>
    <t>B21DCCN624</t>
  </si>
  <si>
    <t>B21DCCN381</t>
  </si>
  <si>
    <t>B21DCCN391</t>
  </si>
  <si>
    <t>B21DCCN577</t>
  </si>
  <si>
    <t>B21DCCN729</t>
  </si>
  <si>
    <t>B21DCCN787</t>
  </si>
  <si>
    <t>B21DCCN698</t>
  </si>
  <si>
    <t>B21DCCN167</t>
  </si>
  <si>
    <t>B21DCDT043</t>
  </si>
  <si>
    <t>B21DCCN170</t>
  </si>
  <si>
    <t>B21DCCN018</t>
  </si>
  <si>
    <t>B21DCCN194</t>
  </si>
  <si>
    <t>B21DCCN246</t>
  </si>
  <si>
    <t>B21DCCN328</t>
  </si>
  <si>
    <t>B21DCCN060</t>
  </si>
  <si>
    <t>B21DCCN516</t>
  </si>
  <si>
    <t>B21DCCN576</t>
  </si>
  <si>
    <t>B21DCCN613</t>
  </si>
  <si>
    <t>B21DCDT194</t>
  </si>
  <si>
    <t>B21DCCN655</t>
  </si>
  <si>
    <t>B21DCCN691</t>
  </si>
  <si>
    <t>B21DCCN703</t>
  </si>
  <si>
    <t>B21DCCN341</t>
  </si>
  <si>
    <t>B21DCCN404</t>
  </si>
  <si>
    <t>B21DCCN482</t>
  </si>
  <si>
    <t>B21DCCN574</t>
  </si>
  <si>
    <t>B21DCCN734</t>
  </si>
  <si>
    <t>B21DCCN806</t>
  </si>
  <si>
    <t>B22DCTT007</t>
  </si>
  <si>
    <t>B21DCCN265</t>
  </si>
  <si>
    <t>B21DCCN168</t>
  </si>
  <si>
    <t>B21DCCN743</t>
  </si>
  <si>
    <t>B21DCDT236</t>
  </si>
  <si>
    <t>B21DCCN345</t>
  </si>
  <si>
    <t>B21DCCN389</t>
  </si>
  <si>
    <t>B21DCAT092</t>
  </si>
  <si>
    <t>B21DCCN452</t>
  </si>
  <si>
    <t>B21DCCN067</t>
  </si>
  <si>
    <t>B21DCCN092</t>
  </si>
  <si>
    <t>B21DCCN020</t>
  </si>
  <si>
    <t>B21DCCN298</t>
  </si>
  <si>
    <t>B21DCCN752</t>
  </si>
  <si>
    <t>B21DCCN175</t>
  </si>
  <si>
    <t>B21DCCN595</t>
  </si>
  <si>
    <t>B21DCCN358</t>
  </si>
  <si>
    <t>B21DCCN009</t>
  </si>
  <si>
    <t>B21DCCN188</t>
  </si>
  <si>
    <t>B21DCCN263</t>
  </si>
  <si>
    <t>B21DCCN296</t>
  </si>
  <si>
    <t>B21DCCN205</t>
  </si>
  <si>
    <t>B21DCCN821</t>
  </si>
  <si>
    <t>B21DCCN368</t>
  </si>
  <si>
    <t>B21DCCN436</t>
  </si>
  <si>
    <t>B21DCCN546</t>
  </si>
  <si>
    <t>B21DCCN571</t>
  </si>
  <si>
    <t>B21DCCN776</t>
  </si>
  <si>
    <t>B21DCCN284</t>
  </si>
  <si>
    <t>B21DCCN366</t>
  </si>
  <si>
    <t>B20DCAT070</t>
  </si>
  <si>
    <t>B21DCCN589</t>
  </si>
  <si>
    <t>B21DCDT075</t>
  </si>
  <si>
    <t>B21DCCN443</t>
  </si>
  <si>
    <t>B21DCCN277</t>
  </si>
  <si>
    <t>B21DCCN352</t>
  </si>
  <si>
    <t>B21DCCN386</t>
  </si>
  <si>
    <t>B21DCCN081</t>
  </si>
  <si>
    <t>B21DCCN527</t>
  </si>
  <si>
    <t>B21DCCN093</t>
  </si>
  <si>
    <t>B21DCCN557</t>
  </si>
  <si>
    <t>B21DCCN602</t>
  </si>
  <si>
    <t>B21DCCN789</t>
  </si>
  <si>
    <t>B21DCCN585</t>
  </si>
  <si>
    <t>B21DCCN266</t>
  </si>
  <si>
    <t>B21DCCN301</t>
  </si>
  <si>
    <t>B21DCCN286</t>
  </si>
  <si>
    <t>B21DCCN259</t>
  </si>
  <si>
    <t>B21DCCN667</t>
  </si>
  <si>
    <t>B21DCCN693</t>
  </si>
  <si>
    <t>B21DCCN711</t>
  </si>
  <si>
    <t>B21DCCN161</t>
  </si>
  <si>
    <t>B21DCCN260</t>
  </si>
  <si>
    <t>B21DCCN294</t>
  </si>
  <si>
    <t>B21DCCN226</t>
  </si>
  <si>
    <t>B21DCCN055</t>
  </si>
  <si>
    <t>B21DCCN403</t>
  </si>
  <si>
    <t>B21DCCN445</t>
  </si>
  <si>
    <t>B21DCCN509</t>
  </si>
  <si>
    <t>B21DCCN530</t>
  </si>
  <si>
    <t>B21DCCN559</t>
  </si>
  <si>
    <t>B21DCCN784</t>
  </si>
  <si>
    <t>B21DCCN014</t>
  </si>
  <si>
    <t>B21DCCN280</t>
  </si>
  <si>
    <t>B21DCCN314</t>
  </si>
  <si>
    <t>B21DCCN045</t>
  </si>
  <si>
    <t>B21DCCN409</t>
  </si>
  <si>
    <t>B21DCCN062</t>
  </si>
  <si>
    <t>B21DCCN434</t>
  </si>
  <si>
    <t>B21DCCN458</t>
  </si>
  <si>
    <t>B21DCCN638</t>
  </si>
  <si>
    <t>B21DCCN290</t>
  </si>
  <si>
    <t>B21DCCN351</t>
  </si>
  <si>
    <t>B21DCCN051</t>
  </si>
  <si>
    <t>B18DCDT213</t>
  </si>
  <si>
    <t>B21DCCN293</t>
  </si>
  <si>
    <t>B19DCAT031</t>
  </si>
  <si>
    <t>B20DCCN001</t>
  </si>
  <si>
    <t>B21DCCN354</t>
  </si>
  <si>
    <t>B21DCCN417</t>
  </si>
  <si>
    <t>B21DCCN180</t>
  </si>
  <si>
    <t>B21DCCN811</t>
  </si>
  <si>
    <t>B21DCCN709</t>
  </si>
  <si>
    <t>B21DCCN234</t>
  </si>
  <si>
    <t>B21DCCN372</t>
  </si>
  <si>
    <t>B21DCCN561</t>
  </si>
  <si>
    <t>B21DCCN669</t>
  </si>
  <si>
    <t>B21DCCN733</t>
  </si>
  <si>
    <t>B21DCCN802</t>
  </si>
  <si>
    <t>B21DCCN189</t>
  </si>
  <si>
    <t>B21DCCN035</t>
  </si>
  <si>
    <t>B22DCKT053</t>
  </si>
  <si>
    <t>B21DCCN566</t>
  </si>
  <si>
    <t>B21DCCN098</t>
  </si>
  <si>
    <t>B21DCCN607</t>
  </si>
  <si>
    <t>B21DCCN127</t>
  </si>
  <si>
    <t>B21DCDT110</t>
  </si>
  <si>
    <t>B22DCCN917</t>
  </si>
  <si>
    <t>B22DCCN780</t>
  </si>
  <si>
    <t>B22DCCN232</t>
  </si>
  <si>
    <t>B20DCAT092</t>
  </si>
  <si>
    <t>B20DCCN522</t>
  </si>
  <si>
    <t>B22DCCN231</t>
  </si>
  <si>
    <t>B20DCCN709</t>
  </si>
  <si>
    <t>B21DCQT074</t>
  </si>
  <si>
    <t>B20DCQT103</t>
  </si>
  <si>
    <t>B21DCQT115</t>
  </si>
  <si>
    <t>B22DCPT051</t>
  </si>
  <si>
    <t>B21DCDT045</t>
  </si>
  <si>
    <t>B22DCCN388</t>
  </si>
  <si>
    <t>B20DCPT036</t>
  </si>
  <si>
    <t>B22DCCN635</t>
  </si>
  <si>
    <t>B19DCCN715</t>
  </si>
  <si>
    <t>B20DCDT036</t>
  </si>
  <si>
    <t>B19DCMR080</t>
  </si>
  <si>
    <t>B21DCTM017</t>
  </si>
  <si>
    <t>B19DCAT034</t>
  </si>
  <si>
    <t>B18DCVT136</t>
  </si>
  <si>
    <t>B22DCDT033</t>
  </si>
  <si>
    <t>B22DCDT230</t>
  </si>
  <si>
    <t>B22DCDT034</t>
  </si>
  <si>
    <t>B22DCVT344</t>
  </si>
  <si>
    <t>B22DCVT581</t>
  </si>
  <si>
    <t>B22DCDT084</t>
  </si>
  <si>
    <t>B22DCVT452</t>
  </si>
  <si>
    <t>B22DCVT163</t>
  </si>
  <si>
    <t>B22DCVT021</t>
  </si>
  <si>
    <t>B18DCVT185</t>
  </si>
  <si>
    <t>B22DCVT266</t>
  </si>
  <si>
    <t>B22DCKH128</t>
  </si>
  <si>
    <t>B20DCAT206</t>
  </si>
  <si>
    <t>B20DCCN118</t>
  </si>
  <si>
    <t>B20DCVT215</t>
  </si>
  <si>
    <t>B20DCVT292</t>
  </si>
  <si>
    <t>B20DCVT315</t>
  </si>
  <si>
    <t>B20DCVT406</t>
  </si>
  <si>
    <t>B20DCVT341</t>
  </si>
  <si>
    <t>B20DCVT055</t>
  </si>
  <si>
    <t>B20DCVT057</t>
  </si>
  <si>
    <t>B20DCVT126</t>
  </si>
  <si>
    <t>B20DCVT274</t>
  </si>
  <si>
    <t>B20DCVT281</t>
  </si>
  <si>
    <t>B20DCVT352</t>
  </si>
  <si>
    <t>B19DCDT227</t>
  </si>
  <si>
    <t>B17DCCN116</t>
  </si>
  <si>
    <t>B20DCCN194</t>
  </si>
  <si>
    <t>B20DCCN256</t>
  </si>
  <si>
    <t>B20DCAT077</t>
  </si>
  <si>
    <t>B19DCAT102</t>
  </si>
  <si>
    <t>B20DCCN058</t>
  </si>
  <si>
    <t>B19DCCN677</t>
  </si>
  <si>
    <t>B20DCCN048</t>
  </si>
  <si>
    <t>B19DCCN272</t>
  </si>
  <si>
    <t>B20DCCN299</t>
  </si>
  <si>
    <t>B21DCDT183</t>
  </si>
  <si>
    <t>B20DCCN337</t>
  </si>
  <si>
    <t>B20DCPT024</t>
  </si>
  <si>
    <t>B19DCVT065</t>
  </si>
  <si>
    <t>B21DCPT228</t>
  </si>
  <si>
    <t>B20DCPT090</t>
  </si>
  <si>
    <t>B19DCVT343</t>
  </si>
  <si>
    <t>B19DCTT023</t>
  </si>
  <si>
    <t>B20DCTT018</t>
  </si>
  <si>
    <t>B20DCTT061</t>
  </si>
  <si>
    <t>B19DCTT124</t>
  </si>
  <si>
    <t>B19DCTT091</t>
  </si>
  <si>
    <t>B19DCTT112</t>
  </si>
  <si>
    <t>B18DCTT124</t>
  </si>
  <si>
    <t>B19DCVT155</t>
  </si>
  <si>
    <t>B19DCTT106</t>
  </si>
  <si>
    <t>B18DCQT143</t>
  </si>
  <si>
    <t>B17DCDT201</t>
  </si>
  <si>
    <t>B19DCCN360</t>
  </si>
  <si>
    <t>B17DCPT124</t>
  </si>
  <si>
    <t>13/06/2024</t>
  </si>
  <si>
    <t>B15DCAT049</t>
  </si>
  <si>
    <t>B16DCCN326</t>
  </si>
  <si>
    <t>B19DCMR068</t>
  </si>
  <si>
    <t>B18DCCN266</t>
  </si>
  <si>
    <t>SỐ 1                                                SỐ 2</t>
  </si>
  <si>
    <t>Hà Nội, ngày          tháng      năm 2024</t>
  </si>
  <si>
    <t>Lưu Ngọc</t>
  </si>
  <si>
    <t>Anh</t>
  </si>
  <si>
    <t>D21CQCN04-B</t>
  </si>
  <si>
    <t>Vũ Thị Mai</t>
  </si>
  <si>
    <t>D21CQCN11-B</t>
  </si>
  <si>
    <t>Lê Xuân</t>
  </si>
  <si>
    <t>Bách</t>
  </si>
  <si>
    <t>D21CQCN02-B</t>
  </si>
  <si>
    <t>Đặng Quý</t>
  </si>
  <si>
    <t>Bình</t>
  </si>
  <si>
    <t>D21CQCN06-B</t>
  </si>
  <si>
    <t>Nguyễn Tất</t>
  </si>
  <si>
    <t>D21CQCN07-B</t>
  </si>
  <si>
    <t>Nguyễn Thái</t>
  </si>
  <si>
    <t>D21CQCN08-B</t>
  </si>
  <si>
    <t>Dương Văn</t>
  </si>
  <si>
    <t>Chính</t>
  </si>
  <si>
    <t>D21CQCN12-B</t>
  </si>
  <si>
    <t>Đỗ Ngọc</t>
  </si>
  <si>
    <t>Cường</t>
  </si>
  <si>
    <t>D21CQCN09-B</t>
  </si>
  <si>
    <t>Nguyễn Hoàng</t>
  </si>
  <si>
    <t>Ðăng</t>
  </si>
  <si>
    <t>Nguyễn Thùy</t>
  </si>
  <si>
    <t>Dung</t>
  </si>
  <si>
    <t>Đặng Tiến</t>
  </si>
  <si>
    <t>Dũng</t>
  </si>
  <si>
    <t>Ngô Mạnh</t>
  </si>
  <si>
    <t>Lê Văn</t>
  </si>
  <si>
    <t>Duy</t>
  </si>
  <si>
    <t>Đỗ Hoàng</t>
  </si>
  <si>
    <t>Dương</t>
  </si>
  <si>
    <t>Nguyễn Ngọc Hải</t>
  </si>
  <si>
    <t>D21CQCN10-B</t>
  </si>
  <si>
    <t>Cam Hải</t>
  </si>
  <si>
    <t>Đăng</t>
  </si>
  <si>
    <t>D21CQCN03-B</t>
  </si>
  <si>
    <t>Cao Việt</t>
  </si>
  <si>
    <t>Đức</t>
  </si>
  <si>
    <t>Nguyễn Trọng</t>
  </si>
  <si>
    <t>Phạm Tuấn</t>
  </si>
  <si>
    <t>Giang</t>
  </si>
  <si>
    <t>Phạm Quang</t>
  </si>
  <si>
    <t>Hà</t>
  </si>
  <si>
    <t>Hải</t>
  </si>
  <si>
    <t>Nguyễn Nam</t>
  </si>
  <si>
    <t>Hoàng Đình</t>
  </si>
  <si>
    <t>Hiệp</t>
  </si>
  <si>
    <t>D21CQCN05-B</t>
  </si>
  <si>
    <t>Hoàng Gia</t>
  </si>
  <si>
    <t>Hiếu</t>
  </si>
  <si>
    <t>Lâm Trung</t>
  </si>
  <si>
    <t>Lưu Minh</t>
  </si>
  <si>
    <t>Nguyễn Văn</t>
  </si>
  <si>
    <t>Phùng Minh</t>
  </si>
  <si>
    <t>Phạm Huy</t>
  </si>
  <si>
    <t>Hòa</t>
  </si>
  <si>
    <t>Hà Việt</t>
  </si>
  <si>
    <t>Hoàng</t>
  </si>
  <si>
    <t>Dương Xuân</t>
  </si>
  <si>
    <t>Hùng</t>
  </si>
  <si>
    <t>D21CQCN01-B</t>
  </si>
  <si>
    <t>Nguyễn Đăng</t>
  </si>
  <si>
    <t>Huy</t>
  </si>
  <si>
    <t>Nguyễn Quang</t>
  </si>
  <si>
    <t>Nguyễn Thu</t>
  </si>
  <si>
    <t>Huyền</t>
  </si>
  <si>
    <t>Lê Quốc</t>
  </si>
  <si>
    <t>Khánh</t>
  </si>
  <si>
    <t>Nguyễn Việt</t>
  </si>
  <si>
    <t>Khiêm</t>
  </si>
  <si>
    <t>Hoàng Ngọc</t>
  </si>
  <si>
    <t>Linh</t>
  </si>
  <si>
    <t>Nguyễn Thảo</t>
  </si>
  <si>
    <t>Nguyễn Thị Thùy</t>
  </si>
  <si>
    <t>Lê Quý</t>
  </si>
  <si>
    <t>Long</t>
  </si>
  <si>
    <t>Vũ Bảo</t>
  </si>
  <si>
    <t>Nguyễn Thành</t>
  </si>
  <si>
    <t>Luân</t>
  </si>
  <si>
    <t>Phạm Thị Ngọc</t>
  </si>
  <si>
    <t>Mai</t>
  </si>
  <si>
    <t>Nguyễn Ngọc</t>
  </si>
  <si>
    <t>Minh</t>
  </si>
  <si>
    <t>Bùi Hải</t>
  </si>
  <si>
    <t>Nam</t>
  </si>
  <si>
    <t>Trần Thị Kim</t>
  </si>
  <si>
    <t>Ngân</t>
  </si>
  <si>
    <t>Hồ Văn</t>
  </si>
  <si>
    <t>Nhuận</t>
  </si>
  <si>
    <t>Nguyễn Xuân</t>
  </si>
  <si>
    <t>Phong</t>
  </si>
  <si>
    <t>Lê Minh</t>
  </si>
  <si>
    <t>Phúc</t>
  </si>
  <si>
    <t>Hà Ninh</t>
  </si>
  <si>
    <t>Quang</t>
  </si>
  <si>
    <t>Lê Bá</t>
  </si>
  <si>
    <t>Lại Bá</t>
  </si>
  <si>
    <t>Quân</t>
  </si>
  <si>
    <t>Nguyễn Minh</t>
  </si>
  <si>
    <t>Phùng Ngọc</t>
  </si>
  <si>
    <t>Quý</t>
  </si>
  <si>
    <t>Nguyễn</t>
  </si>
  <si>
    <t>Sang</t>
  </si>
  <si>
    <t>Đỗ Phương</t>
  </si>
  <si>
    <t>Thảo</t>
  </si>
  <si>
    <t>Thắng</t>
  </si>
  <si>
    <t>Trần Đức</t>
  </si>
  <si>
    <t>Thịnh</t>
  </si>
  <si>
    <t>Nguyễn Thị Hoài</t>
  </si>
  <si>
    <t>Thu</t>
  </si>
  <si>
    <t>Phạm Đình</t>
  </si>
  <si>
    <t>Tiến</t>
  </si>
  <si>
    <t>Toản</t>
  </si>
  <si>
    <t>Kiều Linh</t>
  </si>
  <si>
    <t>Trang</t>
  </si>
  <si>
    <t>Hoàng Việt</t>
  </si>
  <si>
    <t>Trung</t>
  </si>
  <si>
    <t>Phạm Ngọc</t>
  </si>
  <si>
    <t>Bùi Anh</t>
  </si>
  <si>
    <t>Tú</t>
  </si>
  <si>
    <t>Nguyễn Đăng Anh</t>
  </si>
  <si>
    <t>Phùng Bá</t>
  </si>
  <si>
    <t>Tùng</t>
  </si>
  <si>
    <t>Ngô Quốc</t>
  </si>
  <si>
    <t>Việt</t>
  </si>
  <si>
    <t>Trương Thế</t>
  </si>
  <si>
    <t>Ngô Thị</t>
  </si>
  <si>
    <t>Xuân</t>
  </si>
  <si>
    <t>Bùi Thị</t>
  </si>
  <si>
    <t>Xuyến</t>
  </si>
  <si>
    <t>Đạt</t>
  </si>
  <si>
    <t>Hà Văn</t>
  </si>
  <si>
    <t>Nguyễn Anh</t>
  </si>
  <si>
    <t>Huân</t>
  </si>
  <si>
    <t>Nguyễn Thị</t>
  </si>
  <si>
    <t>Thành</t>
  </si>
  <si>
    <t>Vũ Thành</t>
  </si>
  <si>
    <t>Vũ</t>
  </si>
  <si>
    <t>Vương</t>
  </si>
  <si>
    <t>Điệp</t>
  </si>
  <si>
    <t>Nguyễn Tiến</t>
  </si>
  <si>
    <t>Hưng</t>
  </si>
  <si>
    <t>Nguyễn Đình</t>
  </si>
  <si>
    <t>Ngọc</t>
  </si>
  <si>
    <t>Tài</t>
  </si>
  <si>
    <t>Văn</t>
  </si>
  <si>
    <t>Nguyễn Hải</t>
  </si>
  <si>
    <t>Hằng</t>
  </si>
  <si>
    <t>Hoàng Quốc</t>
  </si>
  <si>
    <t>Bùi Huy</t>
  </si>
  <si>
    <t>Đỗ Mạnh</t>
  </si>
  <si>
    <t>Đỗ Đức</t>
  </si>
  <si>
    <t>Trường</t>
  </si>
  <si>
    <t>Bùi Duy</t>
  </si>
  <si>
    <t>Mai Văn</t>
  </si>
  <si>
    <t>Nguyễn Nhật</t>
  </si>
  <si>
    <t>Phương</t>
  </si>
  <si>
    <t>Nguyễn Hữu</t>
  </si>
  <si>
    <t>Phạm Gia</t>
  </si>
  <si>
    <t>Trần Duy</t>
  </si>
  <si>
    <t>Nguyễn Thị Cẩm</t>
  </si>
  <si>
    <t>Thông</t>
  </si>
  <si>
    <t>Nhân</t>
  </si>
  <si>
    <t>Trọng</t>
  </si>
  <si>
    <t>Phạm Đức</t>
  </si>
  <si>
    <t>Phạm Thế</t>
  </si>
  <si>
    <t>Trần Vũ</t>
  </si>
  <si>
    <t>Cảnh</t>
  </si>
  <si>
    <t>Phạm Quỳnh</t>
  </si>
  <si>
    <t>Chi</t>
  </si>
  <si>
    <t>Trần Phú</t>
  </si>
  <si>
    <t>Hoàng Trần</t>
  </si>
  <si>
    <t>Lâm Tiến</t>
  </si>
  <si>
    <t>Dưỡng</t>
  </si>
  <si>
    <t>Nguyễn Quang Hải</t>
  </si>
  <si>
    <t>Đặng Tuấn</t>
  </si>
  <si>
    <t>Phạm Hữu</t>
  </si>
  <si>
    <t>Đoàn</t>
  </si>
  <si>
    <t>Cao Hồng</t>
  </si>
  <si>
    <t>Vũ Hữu</t>
  </si>
  <si>
    <t>Lương Thái</t>
  </si>
  <si>
    <t>Hà</t>
  </si>
  <si>
    <t>Phạm Thị Thanh</t>
  </si>
  <si>
    <t>Phùng Trần</t>
  </si>
  <si>
    <t>Hoàng Văn Minh</t>
  </si>
  <si>
    <t>Trịnh Trung</t>
  </si>
  <si>
    <t>Nguyễn Công</t>
  </si>
  <si>
    <t>Nguyễn Ngọc Quang</t>
  </si>
  <si>
    <t>Lịch</t>
  </si>
  <si>
    <t>Hỏa Ngọc</t>
  </si>
  <si>
    <t>Phạm Thị Linh</t>
  </si>
  <si>
    <t>Mỹ</t>
  </si>
  <si>
    <t>Lê Đoàn Ngọc</t>
  </si>
  <si>
    <t>Trần Nhật</t>
  </si>
  <si>
    <t>Nga</t>
  </si>
  <si>
    <t>Nguyễn Thị Bảo</t>
  </si>
  <si>
    <t>Đinh Thị Thu</t>
  </si>
  <si>
    <t>Nguyệt</t>
  </si>
  <si>
    <t>Vũ Đức</t>
  </si>
  <si>
    <t>Vũ Thị Yến</t>
  </si>
  <si>
    <t>Nhi</t>
  </si>
  <si>
    <t>Văn Đình</t>
  </si>
  <si>
    <t>Nhiều</t>
  </si>
  <si>
    <t>Võ Văn Bảo</t>
  </si>
  <si>
    <t>Tống Xuân</t>
  </si>
  <si>
    <t>Phan Tiến</t>
  </si>
  <si>
    <t>Nguyễn Như</t>
  </si>
  <si>
    <t>Thiệu</t>
  </si>
  <si>
    <t>Hà Cường</t>
  </si>
  <si>
    <t>Đỗ Hoành</t>
  </si>
  <si>
    <t>Thái Quân</t>
  </si>
  <si>
    <t>Thụy</t>
  </si>
  <si>
    <t>Trần Sỹ</t>
  </si>
  <si>
    <t>Trương Vĩnh</t>
  </si>
  <si>
    <t>Trần Thế</t>
  </si>
  <si>
    <t>Tỏa</t>
  </si>
  <si>
    <t>Ngọ Văn</t>
  </si>
  <si>
    <t>Đỗ Thanh</t>
  </si>
  <si>
    <t>Triệu Đình</t>
  </si>
  <si>
    <t>Viết</t>
  </si>
  <si>
    <t>An Quốc</t>
  </si>
  <si>
    <t>Trần Hoàng Tuấn</t>
  </si>
  <si>
    <t>09</t>
  </si>
  <si>
    <t>10</t>
  </si>
  <si>
    <t>B17DCCN737</t>
  </si>
  <si>
    <t>B18DCVT210</t>
  </si>
  <si>
    <t>B19DCTM047</t>
  </si>
  <si>
    <t>B19DCDT213</t>
  </si>
  <si>
    <t>B19DCDT059</t>
  </si>
  <si>
    <t>B19DCMR019</t>
  </si>
  <si>
    <t>B19DCMR192</t>
  </si>
  <si>
    <t>B19DCQT101</t>
  </si>
  <si>
    <t>B19DCVT012</t>
  </si>
  <si>
    <t>B19DCVT172</t>
  </si>
  <si>
    <t>B20DCKT011</t>
  </si>
  <si>
    <t>B20DCKT030</t>
  </si>
  <si>
    <t>B20DCKT176</t>
  </si>
  <si>
    <t>B20DCTM087</t>
  </si>
  <si>
    <t>B20DCTM060</t>
  </si>
  <si>
    <t>B20DCCN166</t>
  </si>
  <si>
    <t>B20DCMR209</t>
  </si>
  <si>
    <t>B20DCMR154</t>
  </si>
  <si>
    <t>B20DCMR042</t>
  </si>
  <si>
    <t>B20DCMR004</t>
  </si>
  <si>
    <t>B20DCMR036</t>
  </si>
  <si>
    <t>B20DCMR083</t>
  </si>
  <si>
    <t>B20DCMR045</t>
  </si>
  <si>
    <t>B20DCQT003</t>
  </si>
  <si>
    <t>B23DCBC044</t>
  </si>
  <si>
    <t>B23DCCN927</t>
  </si>
  <si>
    <t>B23DCDT120</t>
  </si>
  <si>
    <t>B23DCDT300</t>
  </si>
  <si>
    <t>B23DCDT040</t>
  </si>
  <si>
    <t>B23DCKH008</t>
  </si>
  <si>
    <t>B23DCKT236</t>
  </si>
  <si>
    <t>B23DCMR356</t>
  </si>
  <si>
    <t>B23DCMR173</t>
  </si>
  <si>
    <t>B23DCPT153</t>
  </si>
  <si>
    <t>B23DCQT197</t>
  </si>
  <si>
    <t>B23DCQT082</t>
  </si>
  <si>
    <t>B23DCQT155</t>
  </si>
  <si>
    <t>B23DCQT016</t>
  </si>
  <si>
    <t>B23DCVT331</t>
  </si>
  <si>
    <t>B23DCVT314</t>
  </si>
  <si>
    <t>B23DCVT400</t>
  </si>
  <si>
    <t>Nợ HP</t>
  </si>
  <si>
    <t>BẢNG ĐIỂM THI</t>
  </si>
  <si>
    <t>Không</t>
  </si>
  <si>
    <t>không</t>
  </si>
  <si>
    <t>Một</t>
  </si>
  <si>
    <t>một</t>
  </si>
  <si>
    <t>Hai</t>
  </si>
  <si>
    <t>hai</t>
  </si>
  <si>
    <t>Ba</t>
  </si>
  <si>
    <t>ba</t>
  </si>
  <si>
    <t>Bốn</t>
  </si>
  <si>
    <t>bốn</t>
  </si>
  <si>
    <t>Năm</t>
  </si>
  <si>
    <t>năm</t>
  </si>
  <si>
    <t>Sáu</t>
  </si>
  <si>
    <t>sáu</t>
  </si>
  <si>
    <t>Bảy</t>
  </si>
  <si>
    <t>bảy</t>
  </si>
  <si>
    <t>Tám</t>
  </si>
  <si>
    <t>tám</t>
  </si>
  <si>
    <t>Chín</t>
  </si>
  <si>
    <t>chín</t>
  </si>
  <si>
    <t>Mười</t>
  </si>
  <si>
    <t>mười</t>
  </si>
  <si>
    <t>KHOA</t>
  </si>
  <si>
    <t>BỘ MÔN</t>
  </si>
  <si>
    <t>AN TOÀN THÔNG TIN</t>
  </si>
  <si>
    <r>
      <t xml:space="preserve">GIẢNG VIÊN CHẤM THI
</t>
    </r>
    <r>
      <rPr>
        <i/>
        <sz val="11"/>
        <rFont val="Times New Roman"/>
        <family val="1"/>
      </rPr>
      <t>(Ký và ghi rõ họ tên)</t>
    </r>
  </si>
  <si>
    <t>Ngày thi</t>
  </si>
  <si>
    <t>Tổng kết số</t>
  </si>
  <si>
    <t>Tổng kết chữ</t>
  </si>
  <si>
    <t>Giờ thi</t>
  </si>
  <si>
    <t>A+</t>
  </si>
  <si>
    <t>A</t>
  </si>
  <si>
    <t>B+</t>
  </si>
  <si>
    <t>B</t>
  </si>
  <si>
    <t>C+</t>
  </si>
  <si>
    <t>C</t>
  </si>
  <si>
    <t>D</t>
  </si>
  <si>
    <t>D+</t>
  </si>
  <si>
    <t>F</t>
  </si>
  <si>
    <t>Tổng kết</t>
  </si>
  <si>
    <t>Số lượng</t>
  </si>
  <si>
    <t>Tỉ lệ</t>
  </si>
  <si>
    <t>Tổng</t>
  </si>
  <si>
    <t>TK</t>
  </si>
  <si>
    <t>Tỉ lệ(%)</t>
  </si>
  <si>
    <t>N10</t>
  </si>
  <si>
    <t>N09</t>
  </si>
  <si>
    <t>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</si>
</sst>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_);[Red]\(0.0\)"/>
    <numFmt numFmtId="165" formatCode="#,##0.0"/>
    <numFmt numFmtId="171" formatCode="0.0"/>
  </numFmts>
  <fonts count="28" x14ac:knownFonts="1">
    <font>
      <sz val="12"/>
      <name val=".VnTime"/>
      <family val="2"/>
    </font>
    <font>
      <sz val="12"/>
      <name val="Times New Roman"/>
      <family val="1"/>
    </font>
    <font>
      <sz val="11"/>
      <name val=".VnTime"/>
      <family val="2"/>
    </font>
    <font>
      <sz val="1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sz val="10"/>
      <name val="Arial"/>
      <family val="2"/>
    </font>
    <font>
      <b/>
      <sz val="10"/>
      <name val="Times New Roman"/>
      <family val="1"/>
    </font>
    <font>
      <b/>
      <sz val="10"/>
      <name val="Arial"/>
      <family val="2"/>
    </font>
    <font>
      <i/>
      <sz val="12"/>
      <name val="Times New Roman"/>
      <family val="1"/>
    </font>
    <font>
      <sz val="10"/>
      <name val="MS Sans Serif"/>
      <family val="2"/>
    </font>
    <font>
      <sz val="12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1"/>
      <color theme="0"/>
      <name val="Times New Roman"/>
      <family val="1"/>
    </font>
    <font>
      <sz val="11"/>
      <name val="Calibri"/>
      <family val="2"/>
    </font>
    <font>
      <i/>
      <sz val="11"/>
      <name val="Times New Roman"/>
      <family val="1"/>
    </font>
    <font>
      <sz val="10"/>
      <color rgb="FFFF0000"/>
      <name val="Times New Roman"/>
      <family val="1"/>
    </font>
    <font>
      <sz val="12"/>
      <color rgb="FFFF0000"/>
      <name val="Times New Roman"/>
      <family val="1"/>
    </font>
    <font>
      <b/>
      <sz val="14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sz val="14"/>
      <color rgb="FFFF0000"/>
      <name val="Times New Roman"/>
      <family val="1"/>
    </font>
    <font>
      <sz val="12"/>
      <color rgb="FF92D050"/>
      <name val="Times New Roman"/>
      <family val="1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0" fontId="8" fillId="0" borderId="0"/>
    <xf numFmtId="0" fontId="8" fillId="0" borderId="0"/>
    <xf numFmtId="0" fontId="2" fillId="0" borderId="0"/>
    <xf numFmtId="0" fontId="12" fillId="0" borderId="0"/>
    <xf numFmtId="0" fontId="17" fillId="0" borderId="0"/>
    <xf numFmtId="0" fontId="22" fillId="0" borderId="0"/>
  </cellStyleXfs>
  <cellXfs count="157">
    <xf numFmtId="0" fontId="0" fillId="0" borderId="0" xfId="0"/>
    <xf numFmtId="0" fontId="1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7" fillId="0" borderId="9" xfId="0" applyFont="1" applyBorder="1" applyAlignment="1" applyProtection="1">
      <alignment vertical="center" textRotation="90" wrapText="1"/>
      <protection locked="0"/>
    </xf>
    <xf numFmtId="0" fontId="7" fillId="0" borderId="10" xfId="0" applyFont="1" applyBorder="1" applyAlignment="1" applyProtection="1">
      <alignment vertical="center" textRotation="90" wrapText="1"/>
      <protection locked="0"/>
    </xf>
    <xf numFmtId="0" fontId="7" fillId="0" borderId="11" xfId="0" applyFont="1" applyBorder="1" applyAlignment="1" applyProtection="1">
      <alignment vertical="center" textRotation="90" wrapText="1"/>
      <protection locked="0"/>
    </xf>
    <xf numFmtId="0" fontId="3" fillId="0" borderId="12" xfId="1" applyFont="1" applyBorder="1" applyAlignment="1" applyProtection="1">
      <alignment horizontal="center" vertical="center"/>
      <protection locked="0"/>
    </xf>
    <xf numFmtId="165" fontId="10" fillId="0" borderId="12" xfId="0" applyNumberFormat="1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1" fontId="3" fillId="0" borderId="12" xfId="0" applyNumberFormat="1" applyFont="1" applyBorder="1" applyAlignment="1" applyProtection="1">
      <alignment horizontal="center"/>
      <protection hidden="1"/>
    </xf>
    <xf numFmtId="0" fontId="3" fillId="0" borderId="14" xfId="3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4" fillId="0" borderId="0" xfId="2" applyFont="1" applyAlignment="1" applyProtection="1">
      <alignment horizontal="left" vertical="center" wrapText="1"/>
      <protection locked="0"/>
    </xf>
    <xf numFmtId="10" fontId="13" fillId="0" borderId="0" xfId="0" applyNumberFormat="1" applyFont="1" applyAlignment="1" applyProtection="1">
      <alignment horizontal="center" vertical="center"/>
      <protection locked="0"/>
    </xf>
    <xf numFmtId="10" fontId="15" fillId="0" borderId="0" xfId="2" applyNumberFormat="1" applyFont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4" quotePrefix="1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hidden="1"/>
    </xf>
    <xf numFmtId="165" fontId="3" fillId="0" borderId="12" xfId="0" quotePrefix="1" applyNumberFormat="1" applyFont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left" vertical="center"/>
      <protection locked="0"/>
    </xf>
    <xf numFmtId="0" fontId="20" fillId="0" borderId="0" xfId="0" applyFont="1" applyProtection="1">
      <protection locked="0"/>
    </xf>
    <xf numFmtId="0" fontId="1" fillId="0" borderId="15" xfId="0" applyFont="1" applyBorder="1" applyProtection="1">
      <protection locked="0"/>
    </xf>
    <xf numFmtId="0" fontId="5" fillId="0" borderId="0" xfId="0" applyFont="1" applyAlignment="1" applyProtection="1">
      <alignment wrapText="1"/>
      <protection locked="0"/>
    </xf>
    <xf numFmtId="1" fontId="19" fillId="0" borderId="0" xfId="0" applyNumberFormat="1" applyFont="1" applyAlignment="1" applyProtection="1">
      <alignment horizontal="center"/>
      <protection hidden="1"/>
    </xf>
    <xf numFmtId="0" fontId="4" fillId="0" borderId="0" xfId="1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14" fillId="0" borderId="0" xfId="2" applyFont="1" applyAlignment="1" applyProtection="1">
      <alignment horizontal="center" vertical="center" wrapText="1"/>
      <protection locked="0"/>
    </xf>
    <xf numFmtId="1" fontId="19" fillId="0" borderId="0" xfId="0" quotePrefix="1" applyNumberFormat="1" applyFont="1" applyAlignment="1" applyProtection="1">
      <alignment horizontal="center"/>
      <protection hidden="1"/>
    </xf>
    <xf numFmtId="0" fontId="7" fillId="2" borderId="4" xfId="0" applyFont="1" applyFill="1" applyBorder="1" applyAlignment="1">
      <alignment horizontal="center" vertical="center" wrapText="1"/>
    </xf>
    <xf numFmtId="14" fontId="7" fillId="0" borderId="16" xfId="0" applyNumberFormat="1" applyFont="1" applyBorder="1" applyProtection="1">
      <protection locked="0"/>
    </xf>
    <xf numFmtId="0" fontId="6" fillId="0" borderId="0" xfId="0" applyFont="1" applyProtection="1">
      <protection locked="0"/>
    </xf>
    <xf numFmtId="0" fontId="24" fillId="0" borderId="4" xfId="7" applyFont="1" applyBorder="1" applyAlignment="1" applyProtection="1">
      <alignment vertical="top"/>
      <protection locked="0"/>
    </xf>
    <xf numFmtId="0" fontId="24" fillId="0" borderId="0" xfId="7" applyFont="1"/>
    <xf numFmtId="0" fontId="24" fillId="0" borderId="4" xfId="7" applyFont="1" applyBorder="1"/>
    <xf numFmtId="0" fontId="3" fillId="0" borderId="0" xfId="0" applyFont="1" applyAlignment="1" applyProtection="1">
      <alignment horizontal="center" vertical="center"/>
      <protection hidden="1"/>
    </xf>
    <xf numFmtId="1" fontId="3" fillId="0" borderId="12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center" vertical="center"/>
      <protection hidden="1"/>
    </xf>
    <xf numFmtId="0" fontId="25" fillId="0" borderId="12" xfId="0" applyFont="1" applyBorder="1" applyAlignment="1" applyProtection="1">
      <alignment horizontal="center" vertical="center"/>
      <protection locked="0"/>
    </xf>
    <xf numFmtId="0" fontId="7" fillId="2" borderId="4" xfId="1" applyFont="1" applyFill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14" fontId="7" fillId="0" borderId="0" xfId="0" applyNumberFormat="1" applyFont="1" applyProtection="1">
      <protection locked="0"/>
    </xf>
    <xf numFmtId="0" fontId="23" fillId="0" borderId="0" xfId="1" applyFont="1" applyProtection="1">
      <protection locked="0"/>
    </xf>
    <xf numFmtId="0" fontId="3" fillId="0" borderId="17" xfId="1" applyFont="1" applyBorder="1" applyAlignment="1" applyProtection="1">
      <alignment horizontal="center" vertical="center"/>
      <protection locked="0"/>
    </xf>
    <xf numFmtId="0" fontId="3" fillId="0" borderId="19" xfId="3" applyFont="1" applyBorder="1" applyAlignment="1" applyProtection="1">
      <alignment horizontal="center" vertical="center"/>
      <protection locked="0"/>
    </xf>
    <xf numFmtId="0" fontId="25" fillId="0" borderId="17" xfId="0" applyFont="1" applyBorder="1" applyAlignment="1" applyProtection="1">
      <alignment horizontal="center" vertical="center"/>
      <protection locked="0"/>
    </xf>
    <xf numFmtId="165" fontId="3" fillId="0" borderId="17" xfId="0" quotePrefix="1" applyNumberFormat="1" applyFont="1" applyBorder="1" applyAlignment="1" applyProtection="1">
      <alignment horizontal="center" vertical="center"/>
      <protection locked="0"/>
    </xf>
    <xf numFmtId="165" fontId="10" fillId="0" borderId="17" xfId="0" applyNumberFormat="1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center" vertical="center"/>
      <protection hidden="1"/>
    </xf>
    <xf numFmtId="1" fontId="3" fillId="0" borderId="17" xfId="0" applyNumberFormat="1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164" fontId="3" fillId="0" borderId="14" xfId="3" quotePrefix="1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164" fontId="3" fillId="0" borderId="19" xfId="3" quotePrefix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right" vertical="center"/>
      <protection locked="0"/>
    </xf>
    <xf numFmtId="164" fontId="3" fillId="3" borderId="12" xfId="3" quotePrefix="1" applyNumberFormat="1" applyFont="1" applyFill="1" applyBorder="1" applyAlignment="1" applyProtection="1">
      <alignment horizontal="center" vertical="center"/>
      <protection locked="0"/>
    </xf>
    <xf numFmtId="164" fontId="3" fillId="3" borderId="17" xfId="3" quotePrefix="1" applyNumberFormat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protection locked="0"/>
    </xf>
    <xf numFmtId="0" fontId="1" fillId="0" borderId="0" xfId="0" applyFont="1"/>
    <xf numFmtId="164" fontId="3" fillId="0" borderId="12" xfId="3" quotePrefix="1" applyNumberFormat="1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>
      <alignment vertical="center"/>
    </xf>
    <xf numFmtId="164" fontId="3" fillId="0" borderId="17" xfId="3" quotePrefix="1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>
      <alignment vertical="center"/>
    </xf>
    <xf numFmtId="0" fontId="7" fillId="0" borderId="0" xfId="1" applyFont="1" applyAlignment="1" applyProtection="1">
      <alignment vertical="center" wrapText="1"/>
      <protection locked="0"/>
    </xf>
    <xf numFmtId="0" fontId="7" fillId="0" borderId="0" xfId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/>
      <protection locked="0"/>
    </xf>
    <xf numFmtId="0" fontId="7" fillId="0" borderId="0" xfId="1" applyFont="1" applyAlignment="1" applyProtection="1">
      <alignment horizontal="right" vertical="center"/>
      <protection locked="0"/>
    </xf>
    <xf numFmtId="0" fontId="9" fillId="0" borderId="1" xfId="0" applyFont="1" applyBorder="1" applyAlignment="1" applyProtection="1">
      <alignment horizontal="center" vertical="center" textRotation="90" wrapText="1"/>
      <protection locked="0"/>
    </xf>
    <xf numFmtId="0" fontId="9" fillId="0" borderId="8" xfId="0" applyFont="1" applyBorder="1" applyAlignment="1" applyProtection="1">
      <alignment horizontal="center" vertical="center" textRotation="90" wrapText="1"/>
      <protection locked="0"/>
    </xf>
    <xf numFmtId="0" fontId="9" fillId="0" borderId="5" xfId="0" applyFont="1" applyBorder="1" applyAlignment="1" applyProtection="1">
      <alignment horizontal="center" vertical="center" textRotation="90" wrapText="1"/>
      <protection locked="0"/>
    </xf>
    <xf numFmtId="0" fontId="9" fillId="0" borderId="4" xfId="0" applyFont="1" applyBorder="1" applyAlignment="1" applyProtection="1">
      <alignment horizontal="center" vertical="center" textRotation="90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4" fontId="7" fillId="0" borderId="16" xfId="0" applyNumberFormat="1" applyFont="1" applyBorder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center" wrapTex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7" fillId="0" borderId="0" xfId="1" quotePrefix="1" applyFont="1" applyAlignment="1" applyProtection="1">
      <alignment horizontal="center" vertical="center"/>
      <protection locked="0"/>
    </xf>
    <xf numFmtId="0" fontId="7" fillId="0" borderId="16" xfId="1" applyFont="1" applyBorder="1" applyAlignment="1" applyProtection="1">
      <alignment horizontal="right" vertical="center"/>
      <protection locked="0"/>
    </xf>
    <xf numFmtId="0" fontId="9" fillId="0" borderId="3" xfId="0" applyFont="1" applyBorder="1" applyAlignment="1" applyProtection="1">
      <alignment horizontal="center" vertical="center" textRotation="90" wrapText="1"/>
      <protection locked="0"/>
    </xf>
    <xf numFmtId="0" fontId="9" fillId="0" borderId="20" xfId="0" applyFont="1" applyBorder="1" applyAlignment="1" applyProtection="1">
      <alignment horizontal="center" vertical="center" textRotation="90" wrapText="1"/>
      <protection locked="0"/>
    </xf>
    <xf numFmtId="0" fontId="9" fillId="0" borderId="7" xfId="0" applyFont="1" applyBorder="1" applyAlignment="1" applyProtection="1">
      <alignment horizontal="center" vertical="center" textRotation="90" wrapText="1"/>
      <protection locked="0"/>
    </xf>
    <xf numFmtId="14" fontId="7" fillId="0" borderId="0" xfId="0" applyNumberFormat="1" applyFont="1" applyBorder="1" applyAlignment="1" applyProtection="1">
      <alignment horizontal="left" vertical="center"/>
      <protection locked="0"/>
    </xf>
    <xf numFmtId="0" fontId="7" fillId="0" borderId="0" xfId="1" applyFont="1" applyBorder="1" applyAlignment="1" applyProtection="1">
      <alignment horizontal="right" vertical="center"/>
      <protection locked="0"/>
    </xf>
    <xf numFmtId="14" fontId="7" fillId="0" borderId="0" xfId="0" applyNumberFormat="1" applyFont="1" applyBorder="1" applyProtection="1">
      <protection locked="0"/>
    </xf>
    <xf numFmtId="0" fontId="3" fillId="0" borderId="21" xfId="1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164" fontId="3" fillId="0" borderId="23" xfId="3" quotePrefix="1" applyNumberFormat="1" applyFont="1" applyBorder="1" applyAlignment="1" applyProtection="1">
      <alignment horizontal="center" vertical="center"/>
      <protection locked="0"/>
    </xf>
    <xf numFmtId="164" fontId="3" fillId="3" borderId="21" xfId="3" quotePrefix="1" applyNumberFormat="1" applyFont="1" applyFill="1" applyBorder="1" applyAlignment="1" applyProtection="1">
      <alignment horizontal="center" vertical="center"/>
      <protection locked="0"/>
    </xf>
    <xf numFmtId="0" fontId="3" fillId="0" borderId="23" xfId="3" applyFont="1" applyBorder="1" applyAlignment="1" applyProtection="1">
      <alignment horizontal="center" vertical="center"/>
      <protection locked="0"/>
    </xf>
    <xf numFmtId="164" fontId="3" fillId="0" borderId="21" xfId="3" quotePrefix="1" applyNumberFormat="1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>
      <alignment vertical="center"/>
    </xf>
    <xf numFmtId="0" fontId="3" fillId="0" borderId="21" xfId="0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vertical="center" textRotation="90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hidden="1"/>
    </xf>
    <xf numFmtId="0" fontId="9" fillId="0" borderId="0" xfId="2" applyFont="1" applyAlignment="1" applyProtection="1">
      <alignment vertical="center" wrapText="1"/>
      <protection locked="0"/>
    </xf>
    <xf numFmtId="0" fontId="9" fillId="0" borderId="0" xfId="2" applyFont="1" applyAlignment="1" applyProtection="1">
      <alignment horizontal="center" vertical="center" wrapText="1"/>
      <protection locked="0"/>
    </xf>
    <xf numFmtId="0" fontId="3" fillId="0" borderId="0" xfId="2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/>
      <protection locked="0"/>
    </xf>
    <xf numFmtId="10" fontId="1" fillId="0" borderId="0" xfId="0" applyNumberFormat="1" applyFont="1" applyAlignment="1" applyProtection="1">
      <alignment horizontal="center" vertical="center"/>
      <protection hidden="1"/>
    </xf>
    <xf numFmtId="10" fontId="3" fillId="0" borderId="0" xfId="2" applyNumberFormat="1" applyFont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1" fontId="3" fillId="0" borderId="0" xfId="0" quotePrefix="1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 vertical="center"/>
      <protection locked="0"/>
    </xf>
    <xf numFmtId="10" fontId="1" fillId="0" borderId="0" xfId="0" applyNumberFormat="1" applyFont="1" applyAlignment="1" applyProtection="1">
      <alignment horizontal="center" vertical="center"/>
      <protection locked="0"/>
    </xf>
    <xf numFmtId="10" fontId="3" fillId="0" borderId="0" xfId="2" applyNumberFormat="1" applyFont="1" applyAlignment="1" applyProtection="1">
      <alignment horizontal="center" vertical="center" wrapText="1"/>
      <protection locked="0"/>
    </xf>
    <xf numFmtId="0" fontId="27" fillId="0" borderId="4" xfId="0" applyFont="1" applyBorder="1" applyAlignment="1" applyProtection="1">
      <alignment horizontal="center" vertical="center"/>
      <protection locked="0"/>
    </xf>
    <xf numFmtId="0" fontId="9" fillId="0" borderId="4" xfId="2" applyFont="1" applyBorder="1" applyAlignment="1" applyProtection="1">
      <alignment horizontal="center" vertical="center" wrapText="1"/>
      <protection locked="0"/>
    </xf>
    <xf numFmtId="0" fontId="9" fillId="0" borderId="4" xfId="2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Protection="1">
      <protection locked="0"/>
    </xf>
    <xf numFmtId="2" fontId="1" fillId="0" borderId="4" xfId="0" applyNumberFormat="1" applyFont="1" applyBorder="1" applyProtection="1">
      <protection locked="0"/>
    </xf>
    <xf numFmtId="171" fontId="1" fillId="0" borderId="4" xfId="0" applyNumberFormat="1" applyFont="1" applyBorder="1" applyProtection="1">
      <protection locked="0"/>
    </xf>
    <xf numFmtId="0" fontId="1" fillId="0" borderId="4" xfId="0" applyFont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horizontal="center"/>
      <protection hidden="1"/>
    </xf>
    <xf numFmtId="0" fontId="9" fillId="0" borderId="4" xfId="2" applyFont="1" applyBorder="1" applyAlignment="1">
      <alignment horizontal="center" vertical="center" wrapText="1"/>
    </xf>
    <xf numFmtId="0" fontId="1" fillId="0" borderId="4" xfId="0" applyFont="1" applyBorder="1"/>
    <xf numFmtId="0" fontId="9" fillId="0" borderId="0" xfId="2" applyFont="1" applyAlignment="1" applyProtection="1">
      <alignment horizontal="left" vertical="center" wrapText="1"/>
      <protection hidden="1"/>
    </xf>
    <xf numFmtId="10" fontId="1" fillId="0" borderId="4" xfId="0" applyNumberFormat="1" applyFont="1" applyBorder="1" applyProtection="1"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</cellXfs>
  <cellStyles count="8">
    <cellStyle name="Normal" xfId="0" builtinId="0"/>
    <cellStyle name="Normal 2" xfId="6" xr:uid="{00000000-0005-0000-0000-000001000000}"/>
    <cellStyle name="Normal 3" xfId="7" xr:uid="{00000000-0005-0000-0000-000002000000}"/>
    <cellStyle name="Normal_Bao cao tong hop ket qua thi ket thuc hoc phan_KT2" xfId="2" xr:uid="{00000000-0005-0000-0000-000003000000}"/>
    <cellStyle name="Normal_DS C07VT1" xfId="4" xr:uid="{00000000-0005-0000-0000-000004000000}"/>
    <cellStyle name="Normal_DS_lop khoa_2009 (kem theo cac QD thanh lap lop)" xfId="3" xr:uid="{00000000-0005-0000-0000-000005000000}"/>
    <cellStyle name="Normal_Sheet1" xfId="1" xr:uid="{00000000-0005-0000-0000-000006000000}"/>
    <cellStyle name="Style 1" xfId="5" xr:uid="{00000000-0005-0000-0000-000007000000}"/>
  </cellStyles>
  <dxfs count="108"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theme="0"/>
        </patternFill>
      </fill>
    </dxf>
    <dxf>
      <font>
        <color rgb="FFC00000"/>
      </font>
      <fill>
        <patternFill>
          <f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PHỔ</a:t>
            </a:r>
            <a:r>
              <a:rPr lang="en-US" baseline="0"/>
              <a:t> ĐIỂM ATBM - N09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'Nhóm(9)'!$AD$11</c:f>
              <c:strCache>
                <c:ptCount val="1"/>
                <c:pt idx="0">
                  <c:v>Số lượng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'Nhóm(9)'!$AC$12:$AC$20</c:f>
              <c:strCache>
                <c:ptCount val="9"/>
                <c:pt idx="0">
                  <c:v>A+</c:v>
                </c:pt>
                <c:pt idx="1">
                  <c:v>A</c:v>
                </c:pt>
                <c:pt idx="2">
                  <c:v>B+</c:v>
                </c:pt>
                <c:pt idx="3">
                  <c:v>B</c:v>
                </c:pt>
                <c:pt idx="4">
                  <c:v>C+</c:v>
                </c:pt>
                <c:pt idx="5">
                  <c:v>C</c:v>
                </c:pt>
                <c:pt idx="6">
                  <c:v>D+</c:v>
                </c:pt>
                <c:pt idx="7">
                  <c:v>D</c:v>
                </c:pt>
                <c:pt idx="8">
                  <c:v>F</c:v>
                </c:pt>
              </c:strCache>
            </c:strRef>
          </c:cat>
          <c:val>
            <c:numRef>
              <c:f>'Nhóm(9)'!$AD$12:$AD$20</c:f>
              <c:numCache>
                <c:formatCode>General</c:formatCode>
                <c:ptCount val="9"/>
                <c:pt idx="0">
                  <c:v>1</c:v>
                </c:pt>
                <c:pt idx="1">
                  <c:v>11</c:v>
                </c:pt>
                <c:pt idx="2">
                  <c:v>21</c:v>
                </c:pt>
                <c:pt idx="3">
                  <c:v>24</c:v>
                </c:pt>
                <c:pt idx="4">
                  <c:v>4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7-45C4-B3C1-B4FB4FDD5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801728"/>
        <c:axId val="650802056"/>
      </c:barChart>
      <c:catAx>
        <c:axId val="6508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50802056"/>
        <c:crosses val="autoZero"/>
        <c:auto val="1"/>
        <c:lblAlgn val="ctr"/>
        <c:lblOffset val="100"/>
        <c:noMultiLvlLbl val="0"/>
      </c:catAx>
      <c:valAx>
        <c:axId val="65080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5080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PHỔ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ĐIỂM ATBM N10</a:t>
            </a:r>
            <a:endParaRPr lang="vi-VN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'Nhóm(10)'!$AE$84</c:f>
              <c:strCache>
                <c:ptCount val="1"/>
                <c:pt idx="0">
                  <c:v>Số lượng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'Nhóm(10)'!$AD$85:$AD$93</c:f>
              <c:strCache>
                <c:ptCount val="9"/>
                <c:pt idx="0">
                  <c:v>A+</c:v>
                </c:pt>
                <c:pt idx="1">
                  <c:v>A</c:v>
                </c:pt>
                <c:pt idx="2">
                  <c:v>B+</c:v>
                </c:pt>
                <c:pt idx="3">
                  <c:v>B</c:v>
                </c:pt>
                <c:pt idx="4">
                  <c:v>C+</c:v>
                </c:pt>
                <c:pt idx="5">
                  <c:v>C</c:v>
                </c:pt>
                <c:pt idx="6">
                  <c:v>D+</c:v>
                </c:pt>
                <c:pt idx="7">
                  <c:v>D</c:v>
                </c:pt>
                <c:pt idx="8">
                  <c:v>F</c:v>
                </c:pt>
              </c:strCache>
            </c:strRef>
          </c:cat>
          <c:val>
            <c:numRef>
              <c:f>'Nhóm(10)'!$AE$85:$AE$93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19</c:v>
                </c:pt>
                <c:pt idx="3">
                  <c:v>34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E-403D-AD8A-765B6D3D4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100480"/>
        <c:axId val="648102448"/>
      </c:barChart>
      <c:catAx>
        <c:axId val="64810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8102448"/>
        <c:crosses val="autoZero"/>
        <c:auto val="1"/>
        <c:lblAlgn val="ctr"/>
        <c:lblOffset val="100"/>
        <c:noMultiLvlLbl val="0"/>
      </c:catAx>
      <c:valAx>
        <c:axId val="6481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81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b="1">
                <a:latin typeface="Times New Roman" panose="02020603050405020304" pitchFamily="18" charset="0"/>
                <a:cs typeface="Times New Roman" panose="02020603050405020304" pitchFamily="18" charset="0"/>
              </a:rPr>
              <a:t>BÌNH</a:t>
            </a: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QUÂN CHUNG</a:t>
            </a:r>
            <a:endParaRPr lang="vi-VN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39597112860892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'Nhóm(10)'!$AE$112</c:f>
              <c:strCache>
                <c:ptCount val="1"/>
                <c:pt idx="0">
                  <c:v>Số lượng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'Nhóm(10)'!$AD$113:$AD$121</c:f>
              <c:strCache>
                <c:ptCount val="9"/>
                <c:pt idx="0">
                  <c:v>A+</c:v>
                </c:pt>
                <c:pt idx="1">
                  <c:v>A</c:v>
                </c:pt>
                <c:pt idx="2">
                  <c:v>B+</c:v>
                </c:pt>
                <c:pt idx="3">
                  <c:v>B</c:v>
                </c:pt>
                <c:pt idx="4">
                  <c:v>C+</c:v>
                </c:pt>
                <c:pt idx="5">
                  <c:v>C</c:v>
                </c:pt>
                <c:pt idx="6">
                  <c:v>D+</c:v>
                </c:pt>
                <c:pt idx="7">
                  <c:v>D</c:v>
                </c:pt>
                <c:pt idx="8">
                  <c:v>F</c:v>
                </c:pt>
              </c:strCache>
            </c:strRef>
          </c:cat>
          <c:val>
            <c:numRef>
              <c:f>'Nhóm(10)'!$AE$113:$AE$121</c:f>
              <c:numCache>
                <c:formatCode>General</c:formatCode>
                <c:ptCount val="9"/>
                <c:pt idx="0">
                  <c:v>1</c:v>
                </c:pt>
                <c:pt idx="1">
                  <c:v>21</c:v>
                </c:pt>
                <c:pt idx="2">
                  <c:v>40</c:v>
                </c:pt>
                <c:pt idx="3">
                  <c:v>58</c:v>
                </c:pt>
                <c:pt idx="4">
                  <c:v>8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E-4AFD-9153-31AF36A6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7270928"/>
        <c:axId val="589318344"/>
      </c:barChart>
      <c:catAx>
        <c:axId val="59727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89318344"/>
        <c:crosses val="autoZero"/>
        <c:auto val="1"/>
        <c:lblAlgn val="ctr"/>
        <c:lblOffset val="100"/>
        <c:noMultiLvlLbl val="0"/>
      </c:catAx>
      <c:valAx>
        <c:axId val="58931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9727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532130</xdr:colOff>
      <xdr:row>10</xdr:row>
      <xdr:rowOff>129540</xdr:rowOff>
    </xdr:from>
    <xdr:to>
      <xdr:col>38</xdr:col>
      <xdr:colOff>303530</xdr:colOff>
      <xdr:row>21</xdr:row>
      <xdr:rowOff>78740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4FB413-4F0C-A135-67C1-6618AB5480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125730</xdr:colOff>
      <xdr:row>82</xdr:row>
      <xdr:rowOff>232410</xdr:rowOff>
    </xdr:from>
    <xdr:to>
      <xdr:col>39</xdr:col>
      <xdr:colOff>582930</xdr:colOff>
      <xdr:row>93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C3C17B-C797-AB94-21C9-915932BAD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290513</xdr:colOff>
      <xdr:row>107</xdr:row>
      <xdr:rowOff>123825</xdr:rowOff>
    </xdr:from>
    <xdr:to>
      <xdr:col>40</xdr:col>
      <xdr:colOff>61913</xdr:colOff>
      <xdr:row>118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16846A-1B08-F4D6-3B28-45FD4A7AC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584"/>
  <sheetViews>
    <sheetView topLeftCell="A187" workbookViewId="0">
      <selection activeCell="A206" sqref="A206:B313"/>
    </sheetView>
  </sheetViews>
  <sheetFormatPr defaultRowHeight="13.8" x14ac:dyDescent="0.25"/>
  <cols>
    <col min="1" max="1" width="12.19921875" style="36" customWidth="1"/>
    <col min="2" max="2" width="9.69921875" style="36" customWidth="1"/>
    <col min="3" max="247" width="9" style="36"/>
    <col min="248" max="248" width="10.5" style="36" bestFit="1" customWidth="1"/>
    <col min="249" max="251" width="9" style="36"/>
    <col min="252" max="252" width="12" style="36" customWidth="1"/>
    <col min="253" max="503" width="9" style="36"/>
    <col min="504" max="504" width="10.5" style="36" bestFit="1" customWidth="1"/>
    <col min="505" max="507" width="9" style="36"/>
    <col min="508" max="508" width="12" style="36" customWidth="1"/>
    <col min="509" max="759" width="9" style="36"/>
    <col min="760" max="760" width="10.5" style="36" bestFit="1" customWidth="1"/>
    <col min="761" max="763" width="9" style="36"/>
    <col min="764" max="764" width="12" style="36" customWidth="1"/>
    <col min="765" max="1015" width="9" style="36"/>
    <col min="1016" max="1016" width="10.5" style="36" bestFit="1" customWidth="1"/>
    <col min="1017" max="1019" width="9" style="36"/>
    <col min="1020" max="1020" width="12" style="36" customWidth="1"/>
    <col min="1021" max="1271" width="9" style="36"/>
    <col min="1272" max="1272" width="10.5" style="36" bestFit="1" customWidth="1"/>
    <col min="1273" max="1275" width="9" style="36"/>
    <col min="1276" max="1276" width="12" style="36" customWidth="1"/>
    <col min="1277" max="1527" width="9" style="36"/>
    <col min="1528" max="1528" width="10.5" style="36" bestFit="1" customWidth="1"/>
    <col min="1529" max="1531" width="9" style="36"/>
    <col min="1532" max="1532" width="12" style="36" customWidth="1"/>
    <col min="1533" max="1783" width="9" style="36"/>
    <col min="1784" max="1784" width="10.5" style="36" bestFit="1" customWidth="1"/>
    <col min="1785" max="1787" width="9" style="36"/>
    <col min="1788" max="1788" width="12" style="36" customWidth="1"/>
    <col min="1789" max="2039" width="9" style="36"/>
    <col min="2040" max="2040" width="10.5" style="36" bestFit="1" customWidth="1"/>
    <col min="2041" max="2043" width="9" style="36"/>
    <col min="2044" max="2044" width="12" style="36" customWidth="1"/>
    <col min="2045" max="2295" width="9" style="36"/>
    <col min="2296" max="2296" width="10.5" style="36" bestFit="1" customWidth="1"/>
    <col min="2297" max="2299" width="9" style="36"/>
    <col min="2300" max="2300" width="12" style="36" customWidth="1"/>
    <col min="2301" max="2551" width="9" style="36"/>
    <col min="2552" max="2552" width="10.5" style="36" bestFit="1" customWidth="1"/>
    <col min="2553" max="2555" width="9" style="36"/>
    <col min="2556" max="2556" width="12" style="36" customWidth="1"/>
    <col min="2557" max="2807" width="9" style="36"/>
    <col min="2808" max="2808" width="10.5" style="36" bestFit="1" customWidth="1"/>
    <col min="2809" max="2811" width="9" style="36"/>
    <col min="2812" max="2812" width="12" style="36" customWidth="1"/>
    <col min="2813" max="3063" width="9" style="36"/>
    <col min="3064" max="3064" width="10.5" style="36" bestFit="1" customWidth="1"/>
    <col min="3065" max="3067" width="9" style="36"/>
    <col min="3068" max="3068" width="12" style="36" customWidth="1"/>
    <col min="3069" max="3319" width="9" style="36"/>
    <col min="3320" max="3320" width="10.5" style="36" bestFit="1" customWidth="1"/>
    <col min="3321" max="3323" width="9" style="36"/>
    <col min="3324" max="3324" width="12" style="36" customWidth="1"/>
    <col min="3325" max="3575" width="9" style="36"/>
    <col min="3576" max="3576" width="10.5" style="36" bestFit="1" customWidth="1"/>
    <col min="3577" max="3579" width="9" style="36"/>
    <col min="3580" max="3580" width="12" style="36" customWidth="1"/>
    <col min="3581" max="3831" width="9" style="36"/>
    <col min="3832" max="3832" width="10.5" style="36" bestFit="1" customWidth="1"/>
    <col min="3833" max="3835" width="9" style="36"/>
    <col min="3836" max="3836" width="12" style="36" customWidth="1"/>
    <col min="3837" max="4087" width="9" style="36"/>
    <col min="4088" max="4088" width="10.5" style="36" bestFit="1" customWidth="1"/>
    <col min="4089" max="4091" width="9" style="36"/>
    <col min="4092" max="4092" width="12" style="36" customWidth="1"/>
    <col min="4093" max="4343" width="9" style="36"/>
    <col min="4344" max="4344" width="10.5" style="36" bestFit="1" customWidth="1"/>
    <col min="4345" max="4347" width="9" style="36"/>
    <col min="4348" max="4348" width="12" style="36" customWidth="1"/>
    <col min="4349" max="4599" width="9" style="36"/>
    <col min="4600" max="4600" width="10.5" style="36" bestFit="1" customWidth="1"/>
    <col min="4601" max="4603" width="9" style="36"/>
    <col min="4604" max="4604" width="12" style="36" customWidth="1"/>
    <col min="4605" max="4855" width="9" style="36"/>
    <col min="4856" max="4856" width="10.5" style="36" bestFit="1" customWidth="1"/>
    <col min="4857" max="4859" width="9" style="36"/>
    <col min="4860" max="4860" width="12" style="36" customWidth="1"/>
    <col min="4861" max="5111" width="9" style="36"/>
    <col min="5112" max="5112" width="10.5" style="36" bestFit="1" customWidth="1"/>
    <col min="5113" max="5115" width="9" style="36"/>
    <col min="5116" max="5116" width="12" style="36" customWidth="1"/>
    <col min="5117" max="5367" width="9" style="36"/>
    <col min="5368" max="5368" width="10.5" style="36" bestFit="1" customWidth="1"/>
    <col min="5369" max="5371" width="9" style="36"/>
    <col min="5372" max="5372" width="12" style="36" customWidth="1"/>
    <col min="5373" max="5623" width="9" style="36"/>
    <col min="5624" max="5624" width="10.5" style="36" bestFit="1" customWidth="1"/>
    <col min="5625" max="5627" width="9" style="36"/>
    <col min="5628" max="5628" width="12" style="36" customWidth="1"/>
    <col min="5629" max="5879" width="9" style="36"/>
    <col min="5880" max="5880" width="10.5" style="36" bestFit="1" customWidth="1"/>
    <col min="5881" max="5883" width="9" style="36"/>
    <col min="5884" max="5884" width="12" style="36" customWidth="1"/>
    <col min="5885" max="6135" width="9" style="36"/>
    <col min="6136" max="6136" width="10.5" style="36" bestFit="1" customWidth="1"/>
    <col min="6137" max="6139" width="9" style="36"/>
    <col min="6140" max="6140" width="12" style="36" customWidth="1"/>
    <col min="6141" max="6391" width="9" style="36"/>
    <col min="6392" max="6392" width="10.5" style="36" bestFit="1" customWidth="1"/>
    <col min="6393" max="6395" width="9" style="36"/>
    <col min="6396" max="6396" width="12" style="36" customWidth="1"/>
    <col min="6397" max="6647" width="9" style="36"/>
    <col min="6648" max="6648" width="10.5" style="36" bestFit="1" customWidth="1"/>
    <col min="6649" max="6651" width="9" style="36"/>
    <col min="6652" max="6652" width="12" style="36" customWidth="1"/>
    <col min="6653" max="6903" width="9" style="36"/>
    <col min="6904" max="6904" width="10.5" style="36" bestFit="1" customWidth="1"/>
    <col min="6905" max="6907" width="9" style="36"/>
    <col min="6908" max="6908" width="12" style="36" customWidth="1"/>
    <col min="6909" max="7159" width="9" style="36"/>
    <col min="7160" max="7160" width="10.5" style="36" bestFit="1" customWidth="1"/>
    <col min="7161" max="7163" width="9" style="36"/>
    <col min="7164" max="7164" width="12" style="36" customWidth="1"/>
    <col min="7165" max="7415" width="9" style="36"/>
    <col min="7416" max="7416" width="10.5" style="36" bestFit="1" customWidth="1"/>
    <col min="7417" max="7419" width="9" style="36"/>
    <col min="7420" max="7420" width="12" style="36" customWidth="1"/>
    <col min="7421" max="7671" width="9" style="36"/>
    <col min="7672" max="7672" width="10.5" style="36" bestFit="1" customWidth="1"/>
    <col min="7673" max="7675" width="9" style="36"/>
    <col min="7676" max="7676" width="12" style="36" customWidth="1"/>
    <col min="7677" max="7927" width="9" style="36"/>
    <col min="7928" max="7928" width="10.5" style="36" bestFit="1" customWidth="1"/>
    <col min="7929" max="7931" width="9" style="36"/>
    <col min="7932" max="7932" width="12" style="36" customWidth="1"/>
    <col min="7933" max="8183" width="9" style="36"/>
    <col min="8184" max="8184" width="10.5" style="36" bestFit="1" customWidth="1"/>
    <col min="8185" max="8187" width="9" style="36"/>
    <col min="8188" max="8188" width="12" style="36" customWidth="1"/>
    <col min="8189" max="8439" width="9" style="36"/>
    <col min="8440" max="8440" width="10.5" style="36" bestFit="1" customWidth="1"/>
    <col min="8441" max="8443" width="9" style="36"/>
    <col min="8444" max="8444" width="12" style="36" customWidth="1"/>
    <col min="8445" max="8695" width="9" style="36"/>
    <col min="8696" max="8696" width="10.5" style="36" bestFit="1" customWidth="1"/>
    <col min="8697" max="8699" width="9" style="36"/>
    <col min="8700" max="8700" width="12" style="36" customWidth="1"/>
    <col min="8701" max="8951" width="9" style="36"/>
    <col min="8952" max="8952" width="10.5" style="36" bestFit="1" customWidth="1"/>
    <col min="8953" max="8955" width="9" style="36"/>
    <col min="8956" max="8956" width="12" style="36" customWidth="1"/>
    <col min="8957" max="9207" width="9" style="36"/>
    <col min="9208" max="9208" width="10.5" style="36" bestFit="1" customWidth="1"/>
    <col min="9209" max="9211" width="9" style="36"/>
    <col min="9212" max="9212" width="12" style="36" customWidth="1"/>
    <col min="9213" max="9463" width="9" style="36"/>
    <col min="9464" max="9464" width="10.5" style="36" bestFit="1" customWidth="1"/>
    <col min="9465" max="9467" width="9" style="36"/>
    <col min="9468" max="9468" width="12" style="36" customWidth="1"/>
    <col min="9469" max="9719" width="9" style="36"/>
    <col min="9720" max="9720" width="10.5" style="36" bestFit="1" customWidth="1"/>
    <col min="9721" max="9723" width="9" style="36"/>
    <col min="9724" max="9724" width="12" style="36" customWidth="1"/>
    <col min="9725" max="9975" width="9" style="36"/>
    <col min="9976" max="9976" width="10.5" style="36" bestFit="1" customWidth="1"/>
    <col min="9977" max="9979" width="9" style="36"/>
    <col min="9980" max="9980" width="12" style="36" customWidth="1"/>
    <col min="9981" max="10231" width="9" style="36"/>
    <col min="10232" max="10232" width="10.5" style="36" bestFit="1" customWidth="1"/>
    <col min="10233" max="10235" width="9" style="36"/>
    <col min="10236" max="10236" width="12" style="36" customWidth="1"/>
    <col min="10237" max="10487" width="9" style="36"/>
    <col min="10488" max="10488" width="10.5" style="36" bestFit="1" customWidth="1"/>
    <col min="10489" max="10491" width="9" style="36"/>
    <col min="10492" max="10492" width="12" style="36" customWidth="1"/>
    <col min="10493" max="10743" width="9" style="36"/>
    <col min="10744" max="10744" width="10.5" style="36" bestFit="1" customWidth="1"/>
    <col min="10745" max="10747" width="9" style="36"/>
    <col min="10748" max="10748" width="12" style="36" customWidth="1"/>
    <col min="10749" max="10999" width="9" style="36"/>
    <col min="11000" max="11000" width="10.5" style="36" bestFit="1" customWidth="1"/>
    <col min="11001" max="11003" width="9" style="36"/>
    <col min="11004" max="11004" width="12" style="36" customWidth="1"/>
    <col min="11005" max="11255" width="9" style="36"/>
    <col min="11256" max="11256" width="10.5" style="36" bestFit="1" customWidth="1"/>
    <col min="11257" max="11259" width="9" style="36"/>
    <col min="11260" max="11260" width="12" style="36" customWidth="1"/>
    <col min="11261" max="11511" width="9" style="36"/>
    <col min="11512" max="11512" width="10.5" style="36" bestFit="1" customWidth="1"/>
    <col min="11513" max="11515" width="9" style="36"/>
    <col min="11516" max="11516" width="12" style="36" customWidth="1"/>
    <col min="11517" max="11767" width="9" style="36"/>
    <col min="11768" max="11768" width="10.5" style="36" bestFit="1" customWidth="1"/>
    <col min="11769" max="11771" width="9" style="36"/>
    <col min="11772" max="11772" width="12" style="36" customWidth="1"/>
    <col min="11773" max="12023" width="9" style="36"/>
    <col min="12024" max="12024" width="10.5" style="36" bestFit="1" customWidth="1"/>
    <col min="12025" max="12027" width="9" style="36"/>
    <col min="12028" max="12028" width="12" style="36" customWidth="1"/>
    <col min="12029" max="12279" width="9" style="36"/>
    <col min="12280" max="12280" width="10.5" style="36" bestFit="1" customWidth="1"/>
    <col min="12281" max="12283" width="9" style="36"/>
    <col min="12284" max="12284" width="12" style="36" customWidth="1"/>
    <col min="12285" max="12535" width="9" style="36"/>
    <col min="12536" max="12536" width="10.5" style="36" bestFit="1" customWidth="1"/>
    <col min="12537" max="12539" width="9" style="36"/>
    <col min="12540" max="12540" width="12" style="36" customWidth="1"/>
    <col min="12541" max="12791" width="9" style="36"/>
    <col min="12792" max="12792" width="10.5" style="36" bestFit="1" customWidth="1"/>
    <col min="12793" max="12795" width="9" style="36"/>
    <col min="12796" max="12796" width="12" style="36" customWidth="1"/>
    <col min="12797" max="13047" width="9" style="36"/>
    <col min="13048" max="13048" width="10.5" style="36" bestFit="1" customWidth="1"/>
    <col min="13049" max="13051" width="9" style="36"/>
    <col min="13052" max="13052" width="12" style="36" customWidth="1"/>
    <col min="13053" max="13303" width="9" style="36"/>
    <col min="13304" max="13304" width="10.5" style="36" bestFit="1" customWidth="1"/>
    <col min="13305" max="13307" width="9" style="36"/>
    <col min="13308" max="13308" width="12" style="36" customWidth="1"/>
    <col min="13309" max="13559" width="9" style="36"/>
    <col min="13560" max="13560" width="10.5" style="36" bestFit="1" customWidth="1"/>
    <col min="13561" max="13563" width="9" style="36"/>
    <col min="13564" max="13564" width="12" style="36" customWidth="1"/>
    <col min="13565" max="13815" width="9" style="36"/>
    <col min="13816" max="13816" width="10.5" style="36" bestFit="1" customWidth="1"/>
    <col min="13817" max="13819" width="9" style="36"/>
    <col min="13820" max="13820" width="12" style="36" customWidth="1"/>
    <col min="13821" max="14071" width="9" style="36"/>
    <col min="14072" max="14072" width="10.5" style="36" bestFit="1" customWidth="1"/>
    <col min="14073" max="14075" width="9" style="36"/>
    <col min="14076" max="14076" width="12" style="36" customWidth="1"/>
    <col min="14077" max="14327" width="9" style="36"/>
    <col min="14328" max="14328" width="10.5" style="36" bestFit="1" customWidth="1"/>
    <col min="14329" max="14331" width="9" style="36"/>
    <col min="14332" max="14332" width="12" style="36" customWidth="1"/>
    <col min="14333" max="14583" width="9" style="36"/>
    <col min="14584" max="14584" width="10.5" style="36" bestFit="1" customWidth="1"/>
    <col min="14585" max="14587" width="9" style="36"/>
    <col min="14588" max="14588" width="12" style="36" customWidth="1"/>
    <col min="14589" max="14839" width="9" style="36"/>
    <col min="14840" max="14840" width="10.5" style="36" bestFit="1" customWidth="1"/>
    <col min="14841" max="14843" width="9" style="36"/>
    <col min="14844" max="14844" width="12" style="36" customWidth="1"/>
    <col min="14845" max="15095" width="9" style="36"/>
    <col min="15096" max="15096" width="10.5" style="36" bestFit="1" customWidth="1"/>
    <col min="15097" max="15099" width="9" style="36"/>
    <col min="15100" max="15100" width="12" style="36" customWidth="1"/>
    <col min="15101" max="15351" width="9" style="36"/>
    <col min="15352" max="15352" width="10.5" style="36" bestFit="1" customWidth="1"/>
    <col min="15353" max="15355" width="9" style="36"/>
    <col min="15356" max="15356" width="12" style="36" customWidth="1"/>
    <col min="15357" max="15607" width="9" style="36"/>
    <col min="15608" max="15608" width="10.5" style="36" bestFit="1" customWidth="1"/>
    <col min="15609" max="15611" width="9" style="36"/>
    <col min="15612" max="15612" width="12" style="36" customWidth="1"/>
    <col min="15613" max="15863" width="9" style="36"/>
    <col min="15864" max="15864" width="10.5" style="36" bestFit="1" customWidth="1"/>
    <col min="15865" max="15867" width="9" style="36"/>
    <col min="15868" max="15868" width="12" style="36" customWidth="1"/>
    <col min="15869" max="16119" width="9" style="36"/>
    <col min="16120" max="16120" width="10.5" style="36" bestFit="1" customWidth="1"/>
    <col min="16121" max="16123" width="9" style="36"/>
    <col min="16124" max="16124" width="12" style="36" customWidth="1"/>
    <col min="16125" max="16372" width="9" style="36"/>
    <col min="16373" max="16375" width="8" style="36" customWidth="1"/>
    <col min="16376" max="16384" width="9" style="36"/>
  </cols>
  <sheetData>
    <row r="1" spans="1:2" x14ac:dyDescent="0.25">
      <c r="A1" s="35" t="s">
        <v>6</v>
      </c>
      <c r="B1" s="35" t="s">
        <v>7</v>
      </c>
    </row>
    <row r="2" spans="1:2" x14ac:dyDescent="0.25">
      <c r="A2" s="35" t="s">
        <v>346</v>
      </c>
      <c r="B2" s="37" t="s">
        <v>618</v>
      </c>
    </row>
    <row r="3" spans="1:2" x14ac:dyDescent="0.25">
      <c r="A3" s="35" t="s">
        <v>63</v>
      </c>
      <c r="B3" s="37" t="s">
        <v>618</v>
      </c>
    </row>
    <row r="4" spans="1:2" x14ac:dyDescent="0.25">
      <c r="A4" s="35" t="s">
        <v>84</v>
      </c>
      <c r="B4" s="37" t="s">
        <v>618</v>
      </c>
    </row>
    <row r="5" spans="1:2" x14ac:dyDescent="0.25">
      <c r="A5" s="35" t="s">
        <v>347</v>
      </c>
      <c r="B5" s="37" t="s">
        <v>618</v>
      </c>
    </row>
    <row r="6" spans="1:2" x14ac:dyDescent="0.25">
      <c r="A6" s="35" t="s">
        <v>72</v>
      </c>
      <c r="B6" s="37" t="s">
        <v>618</v>
      </c>
    </row>
    <row r="7" spans="1:2" x14ac:dyDescent="0.25">
      <c r="A7" s="35" t="s">
        <v>66</v>
      </c>
      <c r="B7" s="37" t="s">
        <v>618</v>
      </c>
    </row>
    <row r="8" spans="1:2" x14ac:dyDescent="0.25">
      <c r="A8" s="35" t="s">
        <v>315</v>
      </c>
      <c r="B8" s="37" t="s">
        <v>618</v>
      </c>
    </row>
    <row r="9" spans="1:2" x14ac:dyDescent="0.25">
      <c r="A9" s="35" t="s">
        <v>577</v>
      </c>
      <c r="B9" s="37" t="s">
        <v>618</v>
      </c>
    </row>
    <row r="10" spans="1:2" x14ac:dyDescent="0.25">
      <c r="A10" s="35" t="s">
        <v>50</v>
      </c>
      <c r="B10" s="37" t="s">
        <v>618</v>
      </c>
    </row>
    <row r="11" spans="1:2" x14ac:dyDescent="0.25">
      <c r="A11" s="35" t="s">
        <v>61</v>
      </c>
      <c r="B11" s="37" t="s">
        <v>618</v>
      </c>
    </row>
    <row r="12" spans="1:2" x14ac:dyDescent="0.25">
      <c r="A12" s="35" t="s">
        <v>342</v>
      </c>
      <c r="B12" s="37" t="s">
        <v>618</v>
      </c>
    </row>
    <row r="13" spans="1:2" x14ac:dyDescent="0.25">
      <c r="A13" s="35" t="s">
        <v>344</v>
      </c>
      <c r="B13" s="37" t="s">
        <v>618</v>
      </c>
    </row>
    <row r="14" spans="1:2" x14ac:dyDescent="0.25">
      <c r="A14" s="35" t="s">
        <v>349</v>
      </c>
      <c r="B14" s="37" t="s">
        <v>618</v>
      </c>
    </row>
    <row r="15" spans="1:2" x14ac:dyDescent="0.25">
      <c r="A15" s="35" t="s">
        <v>53</v>
      </c>
      <c r="B15" s="37" t="s">
        <v>618</v>
      </c>
    </row>
    <row r="16" spans="1:2" x14ac:dyDescent="0.25">
      <c r="A16" s="35" t="s">
        <v>51</v>
      </c>
      <c r="B16" s="37" t="s">
        <v>618</v>
      </c>
    </row>
    <row r="17" spans="1:2" x14ac:dyDescent="0.25">
      <c r="A17" s="35" t="s">
        <v>338</v>
      </c>
      <c r="B17" s="37" t="s">
        <v>618</v>
      </c>
    </row>
    <row r="18" spans="1:2" x14ac:dyDescent="0.25">
      <c r="A18" s="35" t="s">
        <v>298</v>
      </c>
      <c r="B18" s="37" t="s">
        <v>618</v>
      </c>
    </row>
    <row r="19" spans="1:2" x14ac:dyDescent="0.25">
      <c r="A19" s="35" t="s">
        <v>578</v>
      </c>
      <c r="B19" s="37" t="s">
        <v>618</v>
      </c>
    </row>
    <row r="20" spans="1:2" x14ac:dyDescent="0.25">
      <c r="A20" s="35" t="s">
        <v>288</v>
      </c>
      <c r="B20" s="37" t="s">
        <v>618</v>
      </c>
    </row>
    <row r="21" spans="1:2" x14ac:dyDescent="0.25">
      <c r="A21" s="35" t="s">
        <v>245</v>
      </c>
      <c r="B21" s="37" t="s">
        <v>618</v>
      </c>
    </row>
    <row r="22" spans="1:2" x14ac:dyDescent="0.25">
      <c r="A22" s="35" t="s">
        <v>75</v>
      </c>
      <c r="B22" s="37" t="s">
        <v>618</v>
      </c>
    </row>
    <row r="23" spans="1:2" x14ac:dyDescent="0.25">
      <c r="A23" s="35" t="s">
        <v>341</v>
      </c>
      <c r="B23" s="37" t="s">
        <v>618</v>
      </c>
    </row>
    <row r="24" spans="1:2" x14ac:dyDescent="0.25">
      <c r="A24" s="35" t="s">
        <v>80</v>
      </c>
      <c r="B24" s="37" t="s">
        <v>618</v>
      </c>
    </row>
    <row r="25" spans="1:2" x14ac:dyDescent="0.25">
      <c r="A25" s="35" t="s">
        <v>57</v>
      </c>
      <c r="B25" s="37" t="s">
        <v>618</v>
      </c>
    </row>
    <row r="26" spans="1:2" x14ac:dyDescent="0.25">
      <c r="A26" s="35" t="s">
        <v>52</v>
      </c>
      <c r="B26" s="37" t="s">
        <v>618</v>
      </c>
    </row>
    <row r="27" spans="1:2" x14ac:dyDescent="0.25">
      <c r="A27" s="35" t="s">
        <v>283</v>
      </c>
      <c r="B27" s="37" t="s">
        <v>618</v>
      </c>
    </row>
    <row r="28" spans="1:2" x14ac:dyDescent="0.25">
      <c r="A28" s="35" t="s">
        <v>90</v>
      </c>
      <c r="B28" s="37" t="s">
        <v>618</v>
      </c>
    </row>
    <row r="29" spans="1:2" x14ac:dyDescent="0.25">
      <c r="A29" s="35" t="s">
        <v>343</v>
      </c>
      <c r="B29" s="37" t="s">
        <v>618</v>
      </c>
    </row>
    <row r="30" spans="1:2" x14ac:dyDescent="0.25">
      <c r="A30" s="35" t="s">
        <v>60</v>
      </c>
      <c r="B30" s="37" t="s">
        <v>618</v>
      </c>
    </row>
    <row r="31" spans="1:2" x14ac:dyDescent="0.25">
      <c r="A31" s="35" t="s">
        <v>89</v>
      </c>
      <c r="B31" s="37" t="s">
        <v>618</v>
      </c>
    </row>
    <row r="32" spans="1:2" x14ac:dyDescent="0.25">
      <c r="A32" s="35" t="s">
        <v>77</v>
      </c>
      <c r="B32" s="37" t="s">
        <v>618</v>
      </c>
    </row>
    <row r="33" spans="1:2" x14ac:dyDescent="0.25">
      <c r="A33" s="35" t="s">
        <v>59</v>
      </c>
      <c r="B33" s="37" t="s">
        <v>618</v>
      </c>
    </row>
    <row r="34" spans="1:2" x14ac:dyDescent="0.25">
      <c r="A34" s="35" t="s">
        <v>287</v>
      </c>
      <c r="B34" s="37" t="s">
        <v>618</v>
      </c>
    </row>
    <row r="35" spans="1:2" x14ac:dyDescent="0.25">
      <c r="A35" s="35" t="s">
        <v>319</v>
      </c>
      <c r="B35" s="37" t="s">
        <v>618</v>
      </c>
    </row>
    <row r="36" spans="1:2" x14ac:dyDescent="0.25">
      <c r="A36" s="35" t="s">
        <v>49</v>
      </c>
      <c r="B36" s="37" t="s">
        <v>618</v>
      </c>
    </row>
    <row r="37" spans="1:2" x14ac:dyDescent="0.25">
      <c r="A37" s="35" t="s">
        <v>247</v>
      </c>
      <c r="B37" s="37" t="s">
        <v>618</v>
      </c>
    </row>
    <row r="38" spans="1:2" x14ac:dyDescent="0.25">
      <c r="A38" s="35" t="s">
        <v>48</v>
      </c>
      <c r="B38" s="37" t="s">
        <v>618</v>
      </c>
    </row>
    <row r="39" spans="1:2" x14ac:dyDescent="0.25">
      <c r="A39" s="35" t="s">
        <v>62</v>
      </c>
      <c r="B39" s="37" t="s">
        <v>618</v>
      </c>
    </row>
    <row r="40" spans="1:2" x14ac:dyDescent="0.25">
      <c r="A40" s="35" t="s">
        <v>579</v>
      </c>
      <c r="B40" s="37" t="s">
        <v>618</v>
      </c>
    </row>
    <row r="41" spans="1:2" x14ac:dyDescent="0.25">
      <c r="A41" s="35" t="s">
        <v>332</v>
      </c>
      <c r="B41" s="37" t="s">
        <v>618</v>
      </c>
    </row>
    <row r="42" spans="1:2" x14ac:dyDescent="0.25">
      <c r="A42" s="35" t="s">
        <v>336</v>
      </c>
      <c r="B42" s="37" t="s">
        <v>618</v>
      </c>
    </row>
    <row r="43" spans="1:2" x14ac:dyDescent="0.25">
      <c r="A43" s="35" t="s">
        <v>335</v>
      </c>
      <c r="B43" s="37" t="s">
        <v>618</v>
      </c>
    </row>
    <row r="44" spans="1:2" x14ac:dyDescent="0.25">
      <c r="A44" s="35" t="s">
        <v>340</v>
      </c>
      <c r="B44" s="37" t="s">
        <v>618</v>
      </c>
    </row>
    <row r="45" spans="1:2" x14ac:dyDescent="0.25">
      <c r="A45" s="35" t="s">
        <v>337</v>
      </c>
      <c r="B45" s="37" t="s">
        <v>618</v>
      </c>
    </row>
    <row r="46" spans="1:2" x14ac:dyDescent="0.25">
      <c r="A46" s="35" t="s">
        <v>68</v>
      </c>
      <c r="B46" s="37" t="s">
        <v>618</v>
      </c>
    </row>
    <row r="47" spans="1:2" x14ac:dyDescent="0.25">
      <c r="A47" s="35" t="s">
        <v>580</v>
      </c>
      <c r="B47" s="37" t="s">
        <v>618</v>
      </c>
    </row>
    <row r="48" spans="1:2" x14ac:dyDescent="0.25">
      <c r="A48" s="35" t="s">
        <v>70</v>
      </c>
      <c r="B48" s="37" t="s">
        <v>618</v>
      </c>
    </row>
    <row r="49" spans="1:2" x14ac:dyDescent="0.25">
      <c r="A49" s="35" t="s">
        <v>83</v>
      </c>
      <c r="B49" s="37" t="s">
        <v>618</v>
      </c>
    </row>
    <row r="50" spans="1:2" x14ac:dyDescent="0.25">
      <c r="A50" s="35" t="s">
        <v>69</v>
      </c>
      <c r="B50" s="37" t="s">
        <v>618</v>
      </c>
    </row>
    <row r="51" spans="1:2" x14ac:dyDescent="0.25">
      <c r="A51" s="35" t="s">
        <v>581</v>
      </c>
      <c r="B51" s="37" t="s">
        <v>618</v>
      </c>
    </row>
    <row r="52" spans="1:2" x14ac:dyDescent="0.25">
      <c r="A52" s="35" t="s">
        <v>81</v>
      </c>
      <c r="B52" s="37" t="s">
        <v>618</v>
      </c>
    </row>
    <row r="53" spans="1:2" x14ac:dyDescent="0.25">
      <c r="A53" s="35" t="s">
        <v>314</v>
      </c>
      <c r="B53" s="37" t="s">
        <v>618</v>
      </c>
    </row>
    <row r="54" spans="1:2" x14ac:dyDescent="0.25">
      <c r="A54" s="35" t="s">
        <v>91</v>
      </c>
      <c r="B54" s="37" t="s">
        <v>618</v>
      </c>
    </row>
    <row r="55" spans="1:2" x14ac:dyDescent="0.25">
      <c r="A55" s="35" t="s">
        <v>85</v>
      </c>
      <c r="B55" s="37" t="s">
        <v>618</v>
      </c>
    </row>
    <row r="56" spans="1:2" x14ac:dyDescent="0.25">
      <c r="A56" s="35" t="s">
        <v>323</v>
      </c>
      <c r="B56" s="37" t="s">
        <v>618</v>
      </c>
    </row>
    <row r="57" spans="1:2" x14ac:dyDescent="0.25">
      <c r="A57" s="35" t="s">
        <v>321</v>
      </c>
      <c r="B57" s="37" t="s">
        <v>618</v>
      </c>
    </row>
    <row r="58" spans="1:2" x14ac:dyDescent="0.25">
      <c r="A58" s="35" t="s">
        <v>582</v>
      </c>
      <c r="B58" s="37" t="s">
        <v>618</v>
      </c>
    </row>
    <row r="59" spans="1:2" x14ac:dyDescent="0.25">
      <c r="A59" s="35" t="s">
        <v>583</v>
      </c>
      <c r="B59" s="37" t="s">
        <v>618</v>
      </c>
    </row>
    <row r="60" spans="1:2" x14ac:dyDescent="0.25">
      <c r="A60" s="35" t="s">
        <v>348</v>
      </c>
      <c r="B60" s="37" t="s">
        <v>618</v>
      </c>
    </row>
    <row r="61" spans="1:2" x14ac:dyDescent="0.25">
      <c r="A61" s="35" t="s">
        <v>74</v>
      </c>
      <c r="B61" s="37" t="s">
        <v>618</v>
      </c>
    </row>
    <row r="62" spans="1:2" x14ac:dyDescent="0.25">
      <c r="A62" s="35" t="s">
        <v>285</v>
      </c>
      <c r="B62" s="37" t="s">
        <v>618</v>
      </c>
    </row>
    <row r="63" spans="1:2" x14ac:dyDescent="0.25">
      <c r="A63" s="35" t="s">
        <v>79</v>
      </c>
      <c r="B63" s="37" t="s">
        <v>618</v>
      </c>
    </row>
    <row r="64" spans="1:2" x14ac:dyDescent="0.25">
      <c r="A64" s="35" t="s">
        <v>584</v>
      </c>
      <c r="B64" s="37" t="s">
        <v>618</v>
      </c>
    </row>
    <row r="65" spans="1:2" x14ac:dyDescent="0.25">
      <c r="A65" s="35" t="s">
        <v>328</v>
      </c>
      <c r="B65" s="37" t="s">
        <v>618</v>
      </c>
    </row>
    <row r="66" spans="1:2" x14ac:dyDescent="0.25">
      <c r="A66" s="35" t="s">
        <v>585</v>
      </c>
      <c r="B66" s="37" t="s">
        <v>618</v>
      </c>
    </row>
    <row r="67" spans="1:2" x14ac:dyDescent="0.25">
      <c r="A67" s="35" t="s">
        <v>339</v>
      </c>
      <c r="B67" s="37" t="s">
        <v>618</v>
      </c>
    </row>
    <row r="68" spans="1:2" x14ac:dyDescent="0.25">
      <c r="A68" s="35" t="s">
        <v>54</v>
      </c>
      <c r="B68" s="37" t="s">
        <v>618</v>
      </c>
    </row>
    <row r="69" spans="1:2" x14ac:dyDescent="0.25">
      <c r="A69" s="35" t="s">
        <v>586</v>
      </c>
      <c r="B69" s="37" t="s">
        <v>618</v>
      </c>
    </row>
    <row r="70" spans="1:2" x14ac:dyDescent="0.25">
      <c r="A70" s="35" t="s">
        <v>331</v>
      </c>
      <c r="B70" s="37" t="s">
        <v>618</v>
      </c>
    </row>
    <row r="71" spans="1:2" x14ac:dyDescent="0.25">
      <c r="A71" s="35" t="s">
        <v>587</v>
      </c>
      <c r="B71" s="37" t="s">
        <v>618</v>
      </c>
    </row>
    <row r="72" spans="1:2" x14ac:dyDescent="0.25">
      <c r="A72" s="35" t="s">
        <v>82</v>
      </c>
      <c r="B72" s="37" t="s">
        <v>618</v>
      </c>
    </row>
    <row r="73" spans="1:2" x14ac:dyDescent="0.25">
      <c r="A73" s="35" t="s">
        <v>274</v>
      </c>
      <c r="B73" s="37" t="s">
        <v>618</v>
      </c>
    </row>
    <row r="74" spans="1:2" x14ac:dyDescent="0.25">
      <c r="A74" s="35" t="s">
        <v>78</v>
      </c>
      <c r="B74" s="37" t="s">
        <v>618</v>
      </c>
    </row>
    <row r="75" spans="1:2" x14ac:dyDescent="0.25">
      <c r="A75" s="35" t="s">
        <v>272</v>
      </c>
      <c r="B75" s="37" t="s">
        <v>618</v>
      </c>
    </row>
    <row r="76" spans="1:2" x14ac:dyDescent="0.25">
      <c r="A76" s="35" t="s">
        <v>58</v>
      </c>
      <c r="B76" s="37" t="s">
        <v>618</v>
      </c>
    </row>
    <row r="77" spans="1:2" x14ac:dyDescent="0.25">
      <c r="A77" s="35" t="s">
        <v>64</v>
      </c>
      <c r="B77" s="37" t="s">
        <v>618</v>
      </c>
    </row>
    <row r="78" spans="1:2" x14ac:dyDescent="0.25">
      <c r="A78" s="35" t="s">
        <v>318</v>
      </c>
      <c r="B78" s="37" t="s">
        <v>618</v>
      </c>
    </row>
    <row r="79" spans="1:2" x14ac:dyDescent="0.25">
      <c r="A79" s="35" t="s">
        <v>301</v>
      </c>
      <c r="B79" s="37" t="s">
        <v>618</v>
      </c>
    </row>
    <row r="80" spans="1:2" x14ac:dyDescent="0.25">
      <c r="A80" s="35" t="s">
        <v>201</v>
      </c>
      <c r="B80" s="37" t="s">
        <v>618</v>
      </c>
    </row>
    <row r="81" spans="1:2" x14ac:dyDescent="0.25">
      <c r="A81" s="35" t="s">
        <v>65</v>
      </c>
      <c r="B81" s="37" t="s">
        <v>618</v>
      </c>
    </row>
    <row r="82" spans="1:2" x14ac:dyDescent="0.25">
      <c r="A82" s="35" t="s">
        <v>271</v>
      </c>
      <c r="B82" s="37" t="s">
        <v>618</v>
      </c>
    </row>
    <row r="83" spans="1:2" x14ac:dyDescent="0.25">
      <c r="A83" s="35" t="s">
        <v>588</v>
      </c>
      <c r="B83" s="37" t="s">
        <v>618</v>
      </c>
    </row>
    <row r="84" spans="1:2" x14ac:dyDescent="0.25">
      <c r="A84" s="35" t="s">
        <v>589</v>
      </c>
      <c r="B84" s="37" t="s">
        <v>618</v>
      </c>
    </row>
    <row r="85" spans="1:2" x14ac:dyDescent="0.25">
      <c r="A85" s="35" t="s">
        <v>590</v>
      </c>
      <c r="B85" s="37" t="s">
        <v>618</v>
      </c>
    </row>
    <row r="86" spans="1:2" x14ac:dyDescent="0.25">
      <c r="A86" s="35" t="s">
        <v>591</v>
      </c>
      <c r="B86" s="37" t="s">
        <v>618</v>
      </c>
    </row>
    <row r="87" spans="1:2" x14ac:dyDescent="0.25">
      <c r="A87" s="35" t="s">
        <v>334</v>
      </c>
      <c r="B87" s="37" t="s">
        <v>618</v>
      </c>
    </row>
    <row r="88" spans="1:2" x14ac:dyDescent="0.25">
      <c r="A88" s="35" t="s">
        <v>333</v>
      </c>
      <c r="B88" s="37" t="s">
        <v>618</v>
      </c>
    </row>
    <row r="89" spans="1:2" x14ac:dyDescent="0.25">
      <c r="A89" s="35" t="s">
        <v>67</v>
      </c>
      <c r="B89" s="37" t="s">
        <v>618</v>
      </c>
    </row>
    <row r="90" spans="1:2" x14ac:dyDescent="0.25">
      <c r="A90" s="35" t="s">
        <v>284</v>
      </c>
      <c r="B90" s="37" t="s">
        <v>618</v>
      </c>
    </row>
    <row r="91" spans="1:2" x14ac:dyDescent="0.25">
      <c r="A91" s="35" t="s">
        <v>55</v>
      </c>
      <c r="B91" s="37" t="s">
        <v>618</v>
      </c>
    </row>
    <row r="92" spans="1:2" x14ac:dyDescent="0.25">
      <c r="A92" s="35" t="s">
        <v>326</v>
      </c>
      <c r="B92" s="37" t="s">
        <v>618</v>
      </c>
    </row>
    <row r="93" spans="1:2" x14ac:dyDescent="0.25">
      <c r="A93" s="35" t="s">
        <v>88</v>
      </c>
      <c r="B93" s="37" t="s">
        <v>618</v>
      </c>
    </row>
    <row r="94" spans="1:2" x14ac:dyDescent="0.25">
      <c r="A94" s="35" t="s">
        <v>302</v>
      </c>
      <c r="B94" s="37" t="s">
        <v>618</v>
      </c>
    </row>
    <row r="95" spans="1:2" x14ac:dyDescent="0.25">
      <c r="A95" s="35" t="s">
        <v>71</v>
      </c>
      <c r="B95" s="37" t="s">
        <v>618</v>
      </c>
    </row>
    <row r="96" spans="1:2" x14ac:dyDescent="0.25">
      <c r="A96" s="35" t="s">
        <v>592</v>
      </c>
      <c r="B96" s="37" t="s">
        <v>618</v>
      </c>
    </row>
    <row r="97" spans="1:2" x14ac:dyDescent="0.25">
      <c r="A97" s="35" t="s">
        <v>86</v>
      </c>
      <c r="B97" s="37" t="s">
        <v>618</v>
      </c>
    </row>
    <row r="98" spans="1:2" x14ac:dyDescent="0.25">
      <c r="A98" s="35" t="s">
        <v>324</v>
      </c>
      <c r="B98" s="37" t="s">
        <v>618</v>
      </c>
    </row>
    <row r="99" spans="1:2" x14ac:dyDescent="0.25">
      <c r="A99" s="35" t="s">
        <v>76</v>
      </c>
      <c r="B99" s="37" t="s">
        <v>618</v>
      </c>
    </row>
    <row r="100" spans="1:2" x14ac:dyDescent="0.25">
      <c r="A100" s="35" t="s">
        <v>322</v>
      </c>
      <c r="B100" s="37" t="s">
        <v>618</v>
      </c>
    </row>
    <row r="101" spans="1:2" x14ac:dyDescent="0.25">
      <c r="A101" s="35" t="s">
        <v>316</v>
      </c>
      <c r="B101" s="37" t="s">
        <v>618</v>
      </c>
    </row>
    <row r="102" spans="1:2" x14ac:dyDescent="0.25">
      <c r="A102" s="35" t="s">
        <v>317</v>
      </c>
      <c r="B102" s="37" t="s">
        <v>618</v>
      </c>
    </row>
    <row r="103" spans="1:2" x14ac:dyDescent="0.25">
      <c r="A103" s="35" t="s">
        <v>87</v>
      </c>
      <c r="B103" s="37" t="s">
        <v>618</v>
      </c>
    </row>
    <row r="104" spans="1:2" x14ac:dyDescent="0.25">
      <c r="A104" s="35" t="s">
        <v>320</v>
      </c>
      <c r="B104" s="37" t="s">
        <v>618</v>
      </c>
    </row>
    <row r="105" spans="1:2" x14ac:dyDescent="0.25">
      <c r="A105" s="35" t="s">
        <v>593</v>
      </c>
      <c r="B105" s="37" t="s">
        <v>618</v>
      </c>
    </row>
    <row r="106" spans="1:2" x14ac:dyDescent="0.25">
      <c r="A106" s="35" t="s">
        <v>594</v>
      </c>
      <c r="B106" s="37" t="s">
        <v>618</v>
      </c>
    </row>
    <row r="107" spans="1:2" x14ac:dyDescent="0.25">
      <c r="A107" s="35" t="s">
        <v>595</v>
      </c>
      <c r="B107" s="37" t="s">
        <v>618</v>
      </c>
    </row>
    <row r="108" spans="1:2" x14ac:dyDescent="0.25">
      <c r="A108" s="35" t="s">
        <v>596</v>
      </c>
      <c r="B108" s="37" t="s">
        <v>618</v>
      </c>
    </row>
    <row r="109" spans="1:2" x14ac:dyDescent="0.25">
      <c r="A109" s="35" t="s">
        <v>597</v>
      </c>
      <c r="B109" s="37" t="s">
        <v>618</v>
      </c>
    </row>
    <row r="110" spans="1:2" x14ac:dyDescent="0.25">
      <c r="A110" s="35" t="s">
        <v>598</v>
      </c>
      <c r="B110" s="37" t="s">
        <v>618</v>
      </c>
    </row>
    <row r="111" spans="1:2" x14ac:dyDescent="0.25">
      <c r="A111" s="35" t="s">
        <v>599</v>
      </c>
      <c r="B111" s="37" t="s">
        <v>618</v>
      </c>
    </row>
    <row r="112" spans="1:2" x14ac:dyDescent="0.25">
      <c r="A112" s="35" t="s">
        <v>327</v>
      </c>
      <c r="B112" s="37" t="s">
        <v>618</v>
      </c>
    </row>
    <row r="113" spans="1:2" x14ac:dyDescent="0.25">
      <c r="A113" s="35" t="s">
        <v>330</v>
      </c>
      <c r="B113" s="37" t="s">
        <v>618</v>
      </c>
    </row>
    <row r="114" spans="1:2" x14ac:dyDescent="0.25">
      <c r="A114" s="35" t="s">
        <v>281</v>
      </c>
      <c r="B114" s="37" t="s">
        <v>618</v>
      </c>
    </row>
    <row r="115" spans="1:2" x14ac:dyDescent="0.25">
      <c r="A115" s="35" t="s">
        <v>276</v>
      </c>
      <c r="B115" s="37" t="s">
        <v>618</v>
      </c>
    </row>
    <row r="116" spans="1:2" x14ac:dyDescent="0.25">
      <c r="A116" s="35" t="s">
        <v>600</v>
      </c>
      <c r="B116" s="37" t="s">
        <v>618</v>
      </c>
    </row>
    <row r="117" spans="1:2" x14ac:dyDescent="0.25">
      <c r="A117" s="35" t="s">
        <v>309</v>
      </c>
      <c r="B117" s="37" t="s">
        <v>618</v>
      </c>
    </row>
    <row r="118" spans="1:2" x14ac:dyDescent="0.25">
      <c r="A118" s="35" t="s">
        <v>311</v>
      </c>
      <c r="B118" s="37" t="s">
        <v>618</v>
      </c>
    </row>
    <row r="119" spans="1:2" x14ac:dyDescent="0.25">
      <c r="A119" s="35" t="s">
        <v>312</v>
      </c>
      <c r="B119" s="37" t="s">
        <v>618</v>
      </c>
    </row>
    <row r="120" spans="1:2" x14ac:dyDescent="0.25">
      <c r="A120" s="35" t="s">
        <v>45</v>
      </c>
      <c r="B120" s="37" t="s">
        <v>618</v>
      </c>
    </row>
    <row r="121" spans="1:2" x14ac:dyDescent="0.25">
      <c r="A121" s="35" t="s">
        <v>310</v>
      </c>
      <c r="B121" s="37" t="s">
        <v>618</v>
      </c>
    </row>
    <row r="122" spans="1:2" x14ac:dyDescent="0.25">
      <c r="A122" s="35" t="s">
        <v>313</v>
      </c>
      <c r="B122" s="37" t="s">
        <v>618</v>
      </c>
    </row>
    <row r="123" spans="1:2" x14ac:dyDescent="0.25">
      <c r="A123" s="35" t="s">
        <v>308</v>
      </c>
      <c r="B123" s="37" t="s">
        <v>618</v>
      </c>
    </row>
    <row r="124" spans="1:2" x14ac:dyDescent="0.25">
      <c r="A124" s="35" t="s">
        <v>73</v>
      </c>
      <c r="B124" s="37" t="s">
        <v>618</v>
      </c>
    </row>
    <row r="125" spans="1:2" x14ac:dyDescent="0.25">
      <c r="A125" s="35" t="s">
        <v>305</v>
      </c>
      <c r="B125" s="37" t="s">
        <v>618</v>
      </c>
    </row>
    <row r="126" spans="1:2" x14ac:dyDescent="0.25">
      <c r="A126" s="35" t="s">
        <v>303</v>
      </c>
      <c r="B126" s="37" t="s">
        <v>618</v>
      </c>
    </row>
    <row r="127" spans="1:2" x14ac:dyDescent="0.25">
      <c r="A127" s="35" t="s">
        <v>304</v>
      </c>
      <c r="B127" s="37" t="s">
        <v>618</v>
      </c>
    </row>
    <row r="128" spans="1:2" x14ac:dyDescent="0.25">
      <c r="A128" s="35" t="s">
        <v>307</v>
      </c>
      <c r="B128" s="37" t="s">
        <v>618</v>
      </c>
    </row>
    <row r="129" spans="1:2" x14ac:dyDescent="0.25">
      <c r="A129" s="35" t="s">
        <v>306</v>
      </c>
      <c r="B129" s="37" t="s">
        <v>618</v>
      </c>
    </row>
    <row r="130" spans="1:2" x14ac:dyDescent="0.25">
      <c r="A130" s="35" t="s">
        <v>178</v>
      </c>
      <c r="B130" s="37" t="s">
        <v>618</v>
      </c>
    </row>
    <row r="131" spans="1:2" x14ac:dyDescent="0.25">
      <c r="A131" s="35" t="s">
        <v>193</v>
      </c>
      <c r="B131" s="37" t="s">
        <v>618</v>
      </c>
    </row>
    <row r="132" spans="1:2" x14ac:dyDescent="0.25">
      <c r="A132" s="35" t="s">
        <v>248</v>
      </c>
      <c r="B132" s="37" t="s">
        <v>618</v>
      </c>
    </row>
    <row r="133" spans="1:2" x14ac:dyDescent="0.25">
      <c r="A133" s="35" t="s">
        <v>169</v>
      </c>
      <c r="B133" s="37" t="s">
        <v>618</v>
      </c>
    </row>
    <row r="134" spans="1:2" x14ac:dyDescent="0.25">
      <c r="A134" s="35" t="s">
        <v>142</v>
      </c>
      <c r="B134" s="37" t="s">
        <v>618</v>
      </c>
    </row>
    <row r="135" spans="1:2" x14ac:dyDescent="0.25">
      <c r="A135" s="35" t="s">
        <v>177</v>
      </c>
      <c r="B135" s="37" t="s">
        <v>618</v>
      </c>
    </row>
    <row r="136" spans="1:2" x14ac:dyDescent="0.25">
      <c r="A136" s="35" t="s">
        <v>224</v>
      </c>
      <c r="B136" s="37" t="s">
        <v>618</v>
      </c>
    </row>
    <row r="137" spans="1:2" x14ac:dyDescent="0.25">
      <c r="A137" s="35" t="s">
        <v>252</v>
      </c>
      <c r="B137" s="37" t="s">
        <v>618</v>
      </c>
    </row>
    <row r="138" spans="1:2" x14ac:dyDescent="0.25">
      <c r="A138" s="35" t="s">
        <v>231</v>
      </c>
      <c r="B138" s="37" t="s">
        <v>618</v>
      </c>
    </row>
    <row r="139" spans="1:2" x14ac:dyDescent="0.25">
      <c r="A139" s="35" t="s">
        <v>180</v>
      </c>
      <c r="B139" s="37" t="s">
        <v>618</v>
      </c>
    </row>
    <row r="140" spans="1:2" x14ac:dyDescent="0.25">
      <c r="A140" s="35" t="s">
        <v>189</v>
      </c>
      <c r="B140" s="37" t="s">
        <v>618</v>
      </c>
    </row>
    <row r="141" spans="1:2" x14ac:dyDescent="0.25">
      <c r="A141" s="35" t="s">
        <v>204</v>
      </c>
      <c r="B141" s="37" t="s">
        <v>618</v>
      </c>
    </row>
    <row r="142" spans="1:2" x14ac:dyDescent="0.25">
      <c r="A142" s="35" t="s">
        <v>173</v>
      </c>
      <c r="B142" s="37" t="s">
        <v>618</v>
      </c>
    </row>
    <row r="143" spans="1:2" x14ac:dyDescent="0.25">
      <c r="A143" s="35" t="s">
        <v>158</v>
      </c>
      <c r="B143" s="37" t="s">
        <v>618</v>
      </c>
    </row>
    <row r="144" spans="1:2" x14ac:dyDescent="0.25">
      <c r="A144" s="35" t="s">
        <v>279</v>
      </c>
      <c r="B144" s="37" t="s">
        <v>618</v>
      </c>
    </row>
    <row r="145" spans="1:2" x14ac:dyDescent="0.25">
      <c r="A145" s="35" t="s">
        <v>117</v>
      </c>
      <c r="B145" s="37" t="s">
        <v>618</v>
      </c>
    </row>
    <row r="146" spans="1:2" x14ac:dyDescent="0.25">
      <c r="A146" s="35" t="s">
        <v>161</v>
      </c>
      <c r="B146" s="37" t="s">
        <v>618</v>
      </c>
    </row>
    <row r="147" spans="1:2" x14ac:dyDescent="0.25">
      <c r="A147" s="35" t="s">
        <v>114</v>
      </c>
      <c r="B147" s="37" t="s">
        <v>618</v>
      </c>
    </row>
    <row r="148" spans="1:2" x14ac:dyDescent="0.25">
      <c r="A148" s="35" t="s">
        <v>141</v>
      </c>
      <c r="B148" s="37" t="s">
        <v>618</v>
      </c>
    </row>
    <row r="149" spans="1:2" x14ac:dyDescent="0.25">
      <c r="A149" s="35" t="s">
        <v>203</v>
      </c>
      <c r="B149" s="37" t="s">
        <v>618</v>
      </c>
    </row>
    <row r="150" spans="1:2" x14ac:dyDescent="0.25">
      <c r="A150" s="35" t="s">
        <v>325</v>
      </c>
      <c r="B150" s="37" t="s">
        <v>618</v>
      </c>
    </row>
    <row r="151" spans="1:2" x14ac:dyDescent="0.25">
      <c r="A151" s="35" t="s">
        <v>151</v>
      </c>
      <c r="B151" s="37" t="s">
        <v>618</v>
      </c>
    </row>
    <row r="152" spans="1:2" x14ac:dyDescent="0.25">
      <c r="A152" s="35" t="s">
        <v>175</v>
      </c>
      <c r="B152" s="37" t="s">
        <v>618</v>
      </c>
    </row>
    <row r="153" spans="1:2" x14ac:dyDescent="0.25">
      <c r="A153" s="35" t="s">
        <v>277</v>
      </c>
      <c r="B153" s="37" t="s">
        <v>618</v>
      </c>
    </row>
    <row r="154" spans="1:2" x14ac:dyDescent="0.25">
      <c r="A154" s="35" t="s">
        <v>275</v>
      </c>
      <c r="B154" s="37" t="s">
        <v>618</v>
      </c>
    </row>
    <row r="155" spans="1:2" x14ac:dyDescent="0.25">
      <c r="A155" s="35" t="s">
        <v>286</v>
      </c>
      <c r="B155" s="37" t="s">
        <v>618</v>
      </c>
    </row>
    <row r="156" spans="1:2" x14ac:dyDescent="0.25">
      <c r="A156" s="35" t="s">
        <v>43</v>
      </c>
      <c r="B156" s="37" t="s">
        <v>618</v>
      </c>
    </row>
    <row r="157" spans="1:2" x14ac:dyDescent="0.25">
      <c r="A157" s="35" t="s">
        <v>46</v>
      </c>
      <c r="B157" s="37" t="s">
        <v>618</v>
      </c>
    </row>
    <row r="158" spans="1:2" x14ac:dyDescent="0.25">
      <c r="A158" s="35" t="s">
        <v>44</v>
      </c>
      <c r="B158" s="37" t="s">
        <v>618</v>
      </c>
    </row>
    <row r="159" spans="1:2" x14ac:dyDescent="0.25">
      <c r="A159" s="35" t="s">
        <v>42</v>
      </c>
      <c r="B159" s="37" t="s">
        <v>618</v>
      </c>
    </row>
    <row r="160" spans="1:2" x14ac:dyDescent="0.25">
      <c r="A160" s="35" t="s">
        <v>47</v>
      </c>
      <c r="B160" s="37" t="s">
        <v>618</v>
      </c>
    </row>
    <row r="161" spans="1:2" x14ac:dyDescent="0.25">
      <c r="A161" s="35" t="s">
        <v>102</v>
      </c>
      <c r="B161" s="37" t="s">
        <v>618</v>
      </c>
    </row>
    <row r="162" spans="1:2" x14ac:dyDescent="0.25">
      <c r="A162" s="35" t="s">
        <v>136</v>
      </c>
      <c r="B162" s="37" t="s">
        <v>618</v>
      </c>
    </row>
    <row r="163" spans="1:2" x14ac:dyDescent="0.25">
      <c r="A163" s="35" t="s">
        <v>329</v>
      </c>
      <c r="B163" s="37" t="s">
        <v>618</v>
      </c>
    </row>
    <row r="164" spans="1:2" x14ac:dyDescent="0.25">
      <c r="A164" s="35" t="s">
        <v>113</v>
      </c>
      <c r="B164" s="37" t="s">
        <v>618</v>
      </c>
    </row>
    <row r="165" spans="1:2" x14ac:dyDescent="0.25">
      <c r="A165" s="35" t="s">
        <v>262</v>
      </c>
      <c r="B165" s="37" t="s">
        <v>618</v>
      </c>
    </row>
    <row r="166" spans="1:2" x14ac:dyDescent="0.25">
      <c r="A166" s="35" t="s">
        <v>273</v>
      </c>
      <c r="B166" s="37" t="s">
        <v>618</v>
      </c>
    </row>
    <row r="167" spans="1:2" x14ac:dyDescent="0.25">
      <c r="A167" s="35" t="s">
        <v>280</v>
      </c>
      <c r="B167" s="37" t="s">
        <v>618</v>
      </c>
    </row>
    <row r="168" spans="1:2" x14ac:dyDescent="0.25">
      <c r="A168" s="35" t="s">
        <v>270</v>
      </c>
      <c r="B168" s="37" t="s">
        <v>618</v>
      </c>
    </row>
    <row r="169" spans="1:2" x14ac:dyDescent="0.25">
      <c r="A169" s="35" t="s">
        <v>268</v>
      </c>
      <c r="B169" s="37" t="s">
        <v>618</v>
      </c>
    </row>
    <row r="170" spans="1:2" x14ac:dyDescent="0.25">
      <c r="A170" s="35" t="s">
        <v>282</v>
      </c>
      <c r="B170" s="37" t="s">
        <v>618</v>
      </c>
    </row>
    <row r="171" spans="1:2" x14ac:dyDescent="0.25">
      <c r="A171" s="35" t="s">
        <v>269</v>
      </c>
      <c r="B171" s="37" t="s">
        <v>618</v>
      </c>
    </row>
    <row r="172" spans="1:2" x14ac:dyDescent="0.25">
      <c r="A172" s="35" t="s">
        <v>289</v>
      </c>
      <c r="B172" s="37" t="s">
        <v>618</v>
      </c>
    </row>
    <row r="173" spans="1:2" x14ac:dyDescent="0.25">
      <c r="A173" s="35" t="s">
        <v>290</v>
      </c>
      <c r="B173" s="37" t="s">
        <v>618</v>
      </c>
    </row>
    <row r="174" spans="1:2" x14ac:dyDescent="0.25">
      <c r="A174" s="35" t="s">
        <v>291</v>
      </c>
      <c r="B174" s="37" t="s">
        <v>618</v>
      </c>
    </row>
    <row r="175" spans="1:2" x14ac:dyDescent="0.25">
      <c r="A175" s="35" t="s">
        <v>294</v>
      </c>
      <c r="B175" s="37" t="s">
        <v>618</v>
      </c>
    </row>
    <row r="176" spans="1:2" x14ac:dyDescent="0.25">
      <c r="A176" s="35" t="s">
        <v>300</v>
      </c>
      <c r="B176" s="37" t="s">
        <v>618</v>
      </c>
    </row>
    <row r="177" spans="1:2" x14ac:dyDescent="0.25">
      <c r="A177" s="35" t="s">
        <v>137</v>
      </c>
      <c r="B177" s="37" t="s">
        <v>618</v>
      </c>
    </row>
    <row r="178" spans="1:2" x14ac:dyDescent="0.25">
      <c r="A178" s="35" t="s">
        <v>139</v>
      </c>
      <c r="B178" s="37" t="s">
        <v>618</v>
      </c>
    </row>
    <row r="179" spans="1:2" x14ac:dyDescent="0.25">
      <c r="A179" s="35" t="s">
        <v>278</v>
      </c>
      <c r="B179" s="37" t="s">
        <v>618</v>
      </c>
    </row>
    <row r="180" spans="1:2" x14ac:dyDescent="0.25">
      <c r="A180" s="35" t="s">
        <v>171</v>
      </c>
      <c r="B180" s="37" t="s">
        <v>618</v>
      </c>
    </row>
    <row r="181" spans="1:2" x14ac:dyDescent="0.25">
      <c r="A181" s="35" t="s">
        <v>299</v>
      </c>
      <c r="B181" s="37" t="s">
        <v>618</v>
      </c>
    </row>
    <row r="182" spans="1:2" x14ac:dyDescent="0.25">
      <c r="A182" s="35" t="s">
        <v>296</v>
      </c>
      <c r="B182" s="37" t="s">
        <v>618</v>
      </c>
    </row>
    <row r="183" spans="1:2" x14ac:dyDescent="0.25">
      <c r="A183" s="35" t="s">
        <v>295</v>
      </c>
      <c r="B183" s="37" t="s">
        <v>618</v>
      </c>
    </row>
    <row r="184" spans="1:2" x14ac:dyDescent="0.25">
      <c r="A184" s="35" t="s">
        <v>293</v>
      </c>
      <c r="B184" s="37" t="s">
        <v>618</v>
      </c>
    </row>
    <row r="185" spans="1:2" x14ac:dyDescent="0.25">
      <c r="A185" s="35" t="s">
        <v>297</v>
      </c>
      <c r="B185" s="37" t="s">
        <v>618</v>
      </c>
    </row>
    <row r="186" spans="1:2" x14ac:dyDescent="0.25">
      <c r="A186" s="35" t="s">
        <v>292</v>
      </c>
      <c r="B186" s="37" t="s">
        <v>618</v>
      </c>
    </row>
    <row r="187" spans="1:2" x14ac:dyDescent="0.25">
      <c r="A187" s="35" t="s">
        <v>601</v>
      </c>
      <c r="B187" s="37" t="s">
        <v>618</v>
      </c>
    </row>
    <row r="188" spans="1:2" x14ac:dyDescent="0.25">
      <c r="A188" s="35" t="s">
        <v>602</v>
      </c>
      <c r="B188" s="37" t="s">
        <v>618</v>
      </c>
    </row>
    <row r="189" spans="1:2" x14ac:dyDescent="0.25">
      <c r="A189" s="35" t="s">
        <v>603</v>
      </c>
      <c r="B189" s="37" t="s">
        <v>618</v>
      </c>
    </row>
    <row r="190" spans="1:2" x14ac:dyDescent="0.25">
      <c r="A190" s="35" t="s">
        <v>604</v>
      </c>
      <c r="B190" s="37" t="s">
        <v>618</v>
      </c>
    </row>
    <row r="191" spans="1:2" x14ac:dyDescent="0.25">
      <c r="A191" s="35" t="s">
        <v>605</v>
      </c>
      <c r="B191" s="37" t="s">
        <v>618</v>
      </c>
    </row>
    <row r="192" spans="1:2" x14ac:dyDescent="0.25">
      <c r="A192" s="35" t="s">
        <v>606</v>
      </c>
      <c r="B192" s="37" t="s">
        <v>618</v>
      </c>
    </row>
    <row r="193" spans="1:2" x14ac:dyDescent="0.25">
      <c r="A193" s="35" t="s">
        <v>607</v>
      </c>
      <c r="B193" s="37" t="s">
        <v>618</v>
      </c>
    </row>
    <row r="194" spans="1:2" x14ac:dyDescent="0.25">
      <c r="A194" s="35" t="s">
        <v>608</v>
      </c>
      <c r="B194" s="37" t="s">
        <v>618</v>
      </c>
    </row>
    <row r="195" spans="1:2" x14ac:dyDescent="0.25">
      <c r="A195" s="35" t="s">
        <v>609</v>
      </c>
      <c r="B195" s="37" t="s">
        <v>618</v>
      </c>
    </row>
    <row r="196" spans="1:2" x14ac:dyDescent="0.25">
      <c r="A196" s="35" t="s">
        <v>610</v>
      </c>
      <c r="B196" s="37" t="s">
        <v>618</v>
      </c>
    </row>
    <row r="197" spans="1:2" x14ac:dyDescent="0.25">
      <c r="A197" s="35" t="s">
        <v>611</v>
      </c>
      <c r="B197" s="37" t="s">
        <v>618</v>
      </c>
    </row>
    <row r="198" spans="1:2" x14ac:dyDescent="0.25">
      <c r="A198" s="35" t="s">
        <v>612</v>
      </c>
      <c r="B198" s="37" t="s">
        <v>618</v>
      </c>
    </row>
    <row r="199" spans="1:2" x14ac:dyDescent="0.25">
      <c r="A199" s="35" t="s">
        <v>613</v>
      </c>
      <c r="B199" s="37" t="s">
        <v>618</v>
      </c>
    </row>
    <row r="200" spans="1:2" x14ac:dyDescent="0.25">
      <c r="A200" s="35" t="s">
        <v>614</v>
      </c>
      <c r="B200" s="37" t="s">
        <v>618</v>
      </c>
    </row>
    <row r="201" spans="1:2" x14ac:dyDescent="0.25">
      <c r="A201" s="35" t="s">
        <v>615</v>
      </c>
      <c r="B201" s="37" t="s">
        <v>618</v>
      </c>
    </row>
    <row r="202" spans="1:2" x14ac:dyDescent="0.25">
      <c r="A202" s="35" t="s">
        <v>616</v>
      </c>
      <c r="B202" s="37" t="s">
        <v>618</v>
      </c>
    </row>
    <row r="203" spans="1:2" x14ac:dyDescent="0.25">
      <c r="A203" s="35" t="s">
        <v>617</v>
      </c>
      <c r="B203" s="37" t="s">
        <v>618</v>
      </c>
    </row>
    <row r="204" spans="1:2" x14ac:dyDescent="0.25">
      <c r="A204" s="35" t="s">
        <v>56</v>
      </c>
      <c r="B204" s="37" t="s">
        <v>618</v>
      </c>
    </row>
    <row r="205" spans="1:2" x14ac:dyDescent="0.25">
      <c r="A205" s="35" t="s">
        <v>267</v>
      </c>
      <c r="B205" s="37" t="s">
        <v>618</v>
      </c>
    </row>
    <row r="206" spans="1:2" x14ac:dyDescent="0.25">
      <c r="A206" s="35"/>
      <c r="B206" s="37"/>
    </row>
    <row r="207" spans="1:2" x14ac:dyDescent="0.25">
      <c r="A207" s="35"/>
      <c r="B207" s="37"/>
    </row>
    <row r="208" spans="1:2" x14ac:dyDescent="0.25">
      <c r="A208" s="35"/>
      <c r="B208" s="37"/>
    </row>
    <row r="209" spans="1:2" x14ac:dyDescent="0.25">
      <c r="A209" s="35"/>
      <c r="B209" s="37"/>
    </row>
    <row r="210" spans="1:2" x14ac:dyDescent="0.25">
      <c r="A210" s="35"/>
      <c r="B210" s="37"/>
    </row>
    <row r="211" spans="1:2" x14ac:dyDescent="0.25">
      <c r="A211" s="35"/>
      <c r="B211" s="37"/>
    </row>
    <row r="212" spans="1:2" x14ac:dyDescent="0.25">
      <c r="A212" s="35"/>
      <c r="B212" s="37"/>
    </row>
    <row r="213" spans="1:2" x14ac:dyDescent="0.25">
      <c r="A213" s="35"/>
      <c r="B213" s="37"/>
    </row>
    <row r="214" spans="1:2" x14ac:dyDescent="0.25">
      <c r="A214" s="35"/>
      <c r="B214" s="37"/>
    </row>
    <row r="215" spans="1:2" x14ac:dyDescent="0.25">
      <c r="A215" s="35"/>
      <c r="B215" s="37"/>
    </row>
    <row r="216" spans="1:2" x14ac:dyDescent="0.25">
      <c r="A216" s="35"/>
      <c r="B216" s="37"/>
    </row>
    <row r="217" spans="1:2" x14ac:dyDescent="0.25">
      <c r="A217" s="35"/>
      <c r="B217" s="37"/>
    </row>
    <row r="218" spans="1:2" x14ac:dyDescent="0.25">
      <c r="A218" s="35"/>
      <c r="B218" s="37"/>
    </row>
    <row r="219" spans="1:2" x14ac:dyDescent="0.25">
      <c r="A219" s="35"/>
      <c r="B219" s="37"/>
    </row>
    <row r="220" spans="1:2" x14ac:dyDescent="0.25">
      <c r="A220" s="35"/>
      <c r="B220" s="37"/>
    </row>
    <row r="221" spans="1:2" x14ac:dyDescent="0.25">
      <c r="A221" s="35"/>
      <c r="B221" s="37"/>
    </row>
    <row r="222" spans="1:2" x14ac:dyDescent="0.25">
      <c r="A222" s="35"/>
      <c r="B222" s="37"/>
    </row>
    <row r="223" spans="1:2" x14ac:dyDescent="0.25">
      <c r="A223" s="35"/>
      <c r="B223" s="37"/>
    </row>
    <row r="224" spans="1:2" x14ac:dyDescent="0.25">
      <c r="A224" s="35"/>
      <c r="B224" s="37"/>
    </row>
    <row r="225" spans="1:2" x14ac:dyDescent="0.25">
      <c r="A225" s="35"/>
      <c r="B225" s="37"/>
    </row>
    <row r="226" spans="1:2" x14ac:dyDescent="0.25">
      <c r="A226" s="35"/>
      <c r="B226" s="37"/>
    </row>
    <row r="227" spans="1:2" x14ac:dyDescent="0.25">
      <c r="A227" s="35"/>
      <c r="B227" s="37"/>
    </row>
    <row r="228" spans="1:2" x14ac:dyDescent="0.25">
      <c r="A228" s="35"/>
      <c r="B228" s="37"/>
    </row>
    <row r="229" spans="1:2" x14ac:dyDescent="0.25">
      <c r="A229" s="35"/>
      <c r="B229" s="37"/>
    </row>
    <row r="230" spans="1:2" x14ac:dyDescent="0.25">
      <c r="A230" s="35"/>
      <c r="B230" s="37"/>
    </row>
    <row r="231" spans="1:2" x14ac:dyDescent="0.25">
      <c r="A231" s="35"/>
      <c r="B231" s="37"/>
    </row>
    <row r="232" spans="1:2" x14ac:dyDescent="0.25">
      <c r="A232" s="35"/>
      <c r="B232" s="37"/>
    </row>
    <row r="233" spans="1:2" x14ac:dyDescent="0.25">
      <c r="A233" s="35"/>
      <c r="B233" s="37"/>
    </row>
    <row r="234" spans="1:2" x14ac:dyDescent="0.25">
      <c r="A234" s="35"/>
      <c r="B234" s="37"/>
    </row>
    <row r="235" spans="1:2" x14ac:dyDescent="0.25">
      <c r="A235" s="35"/>
      <c r="B235" s="37"/>
    </row>
    <row r="236" spans="1:2" x14ac:dyDescent="0.25">
      <c r="A236" s="35"/>
      <c r="B236" s="37"/>
    </row>
    <row r="237" spans="1:2" x14ac:dyDescent="0.25">
      <c r="A237" s="35"/>
      <c r="B237" s="37"/>
    </row>
    <row r="238" spans="1:2" x14ac:dyDescent="0.25">
      <c r="A238" s="35"/>
      <c r="B238" s="37"/>
    </row>
    <row r="239" spans="1:2" x14ac:dyDescent="0.25">
      <c r="A239" s="35"/>
      <c r="B239" s="37"/>
    </row>
    <row r="240" spans="1:2" x14ac:dyDescent="0.25">
      <c r="A240" s="35"/>
      <c r="B240" s="37"/>
    </row>
    <row r="241" spans="1:2" x14ac:dyDescent="0.25">
      <c r="A241" s="35"/>
      <c r="B241" s="37"/>
    </row>
    <row r="242" spans="1:2" x14ac:dyDescent="0.25">
      <c r="A242" s="35"/>
      <c r="B242" s="37"/>
    </row>
    <row r="243" spans="1:2" x14ac:dyDescent="0.25">
      <c r="A243" s="35"/>
      <c r="B243" s="37"/>
    </row>
    <row r="244" spans="1:2" x14ac:dyDescent="0.25">
      <c r="A244" s="35"/>
      <c r="B244" s="37"/>
    </row>
    <row r="245" spans="1:2" x14ac:dyDescent="0.25">
      <c r="A245" s="35"/>
      <c r="B245" s="37"/>
    </row>
    <row r="246" spans="1:2" x14ac:dyDescent="0.25">
      <c r="A246" s="35"/>
      <c r="B246" s="37"/>
    </row>
    <row r="247" spans="1:2" x14ac:dyDescent="0.25">
      <c r="A247" s="35"/>
      <c r="B247" s="37"/>
    </row>
    <row r="248" spans="1:2" x14ac:dyDescent="0.25">
      <c r="A248" s="35"/>
      <c r="B248" s="37"/>
    </row>
    <row r="249" spans="1:2" x14ac:dyDescent="0.25">
      <c r="A249" s="35"/>
      <c r="B249" s="37"/>
    </row>
    <row r="250" spans="1:2" x14ac:dyDescent="0.25">
      <c r="A250" s="35"/>
      <c r="B250" s="37"/>
    </row>
    <row r="251" spans="1:2" x14ac:dyDescent="0.25">
      <c r="A251" s="35"/>
      <c r="B251" s="37"/>
    </row>
    <row r="252" spans="1:2" x14ac:dyDescent="0.25">
      <c r="A252" s="35"/>
      <c r="B252" s="37"/>
    </row>
    <row r="253" spans="1:2" x14ac:dyDescent="0.25">
      <c r="A253" s="35"/>
      <c r="B253" s="37"/>
    </row>
    <row r="254" spans="1:2" x14ac:dyDescent="0.25">
      <c r="A254" s="35"/>
      <c r="B254" s="37"/>
    </row>
    <row r="255" spans="1:2" x14ac:dyDescent="0.25">
      <c r="A255" s="35"/>
      <c r="B255" s="37"/>
    </row>
    <row r="256" spans="1:2" x14ac:dyDescent="0.25">
      <c r="A256" s="35"/>
      <c r="B256" s="37"/>
    </row>
    <row r="257" spans="1:2" x14ac:dyDescent="0.25">
      <c r="A257" s="35"/>
      <c r="B257" s="37"/>
    </row>
    <row r="258" spans="1:2" x14ac:dyDescent="0.25">
      <c r="A258" s="35"/>
      <c r="B258" s="37"/>
    </row>
    <row r="259" spans="1:2" x14ac:dyDescent="0.25">
      <c r="A259" s="35"/>
      <c r="B259" s="37"/>
    </row>
    <row r="260" spans="1:2" x14ac:dyDescent="0.25">
      <c r="A260" s="35"/>
      <c r="B260" s="37"/>
    </row>
    <row r="261" spans="1:2" x14ac:dyDescent="0.25">
      <c r="A261" s="35"/>
      <c r="B261" s="37"/>
    </row>
    <row r="262" spans="1:2" x14ac:dyDescent="0.25">
      <c r="A262" s="35"/>
      <c r="B262" s="37"/>
    </row>
    <row r="263" spans="1:2" x14ac:dyDescent="0.25">
      <c r="A263" s="35"/>
      <c r="B263" s="37"/>
    </row>
    <row r="264" spans="1:2" x14ac:dyDescent="0.25">
      <c r="A264" s="35"/>
      <c r="B264" s="37"/>
    </row>
    <row r="265" spans="1:2" x14ac:dyDescent="0.25">
      <c r="A265" s="35"/>
      <c r="B265" s="37"/>
    </row>
    <row r="266" spans="1:2" x14ac:dyDescent="0.25">
      <c r="A266" s="35"/>
      <c r="B266" s="37"/>
    </row>
    <row r="267" spans="1:2" x14ac:dyDescent="0.25">
      <c r="A267" s="35"/>
      <c r="B267" s="37"/>
    </row>
    <row r="268" spans="1:2" x14ac:dyDescent="0.25">
      <c r="A268" s="35"/>
      <c r="B268" s="37"/>
    </row>
    <row r="269" spans="1:2" x14ac:dyDescent="0.25">
      <c r="A269" s="35"/>
      <c r="B269" s="37"/>
    </row>
    <row r="270" spans="1:2" x14ac:dyDescent="0.25">
      <c r="A270" s="35"/>
      <c r="B270" s="37"/>
    </row>
    <row r="271" spans="1:2" x14ac:dyDescent="0.25">
      <c r="A271" s="35"/>
      <c r="B271" s="37"/>
    </row>
    <row r="272" spans="1:2" x14ac:dyDescent="0.25">
      <c r="A272" s="35"/>
      <c r="B272" s="37"/>
    </row>
    <row r="273" spans="1:2" x14ac:dyDescent="0.25">
      <c r="A273" s="35"/>
      <c r="B273" s="37"/>
    </row>
    <row r="274" spans="1:2" x14ac:dyDescent="0.25">
      <c r="A274" s="35"/>
      <c r="B274" s="37"/>
    </row>
    <row r="275" spans="1:2" x14ac:dyDescent="0.25">
      <c r="A275" s="35"/>
      <c r="B275" s="37"/>
    </row>
    <row r="276" spans="1:2" x14ac:dyDescent="0.25">
      <c r="A276" s="35"/>
      <c r="B276" s="37"/>
    </row>
    <row r="277" spans="1:2" x14ac:dyDescent="0.25">
      <c r="A277" s="35"/>
      <c r="B277" s="37"/>
    </row>
    <row r="278" spans="1:2" x14ac:dyDescent="0.25">
      <c r="A278" s="35"/>
      <c r="B278" s="37"/>
    </row>
    <row r="279" spans="1:2" x14ac:dyDescent="0.25">
      <c r="A279" s="35"/>
      <c r="B279" s="37"/>
    </row>
    <row r="280" spans="1:2" x14ac:dyDescent="0.25">
      <c r="A280" s="35"/>
      <c r="B280" s="37"/>
    </row>
    <row r="281" spans="1:2" x14ac:dyDescent="0.25">
      <c r="A281" s="35"/>
      <c r="B281" s="37"/>
    </row>
    <row r="282" spans="1:2" x14ac:dyDescent="0.25">
      <c r="A282" s="35"/>
      <c r="B282" s="37"/>
    </row>
    <row r="283" spans="1:2" x14ac:dyDescent="0.25">
      <c r="A283" s="35"/>
      <c r="B283" s="37"/>
    </row>
    <row r="284" spans="1:2" x14ac:dyDescent="0.25">
      <c r="A284" s="35"/>
      <c r="B284" s="37"/>
    </row>
    <row r="285" spans="1:2" x14ac:dyDescent="0.25">
      <c r="A285" s="35"/>
      <c r="B285" s="37"/>
    </row>
    <row r="286" spans="1:2" x14ac:dyDescent="0.25">
      <c r="A286" s="35"/>
      <c r="B286" s="37"/>
    </row>
    <row r="287" spans="1:2" x14ac:dyDescent="0.25">
      <c r="A287" s="35"/>
      <c r="B287" s="37"/>
    </row>
    <row r="288" spans="1:2" x14ac:dyDescent="0.25">
      <c r="A288" s="35"/>
      <c r="B288" s="37"/>
    </row>
    <row r="289" spans="1:2" x14ac:dyDescent="0.25">
      <c r="A289" s="35"/>
      <c r="B289" s="37"/>
    </row>
    <row r="290" spans="1:2" x14ac:dyDescent="0.25">
      <c r="A290" s="35"/>
      <c r="B290" s="37"/>
    </row>
    <row r="291" spans="1:2" x14ac:dyDescent="0.25">
      <c r="A291" s="35"/>
      <c r="B291" s="37"/>
    </row>
    <row r="292" spans="1:2" x14ac:dyDescent="0.25">
      <c r="A292" s="35"/>
      <c r="B292" s="37"/>
    </row>
    <row r="293" spans="1:2" x14ac:dyDescent="0.25">
      <c r="A293" s="35"/>
      <c r="B293" s="37"/>
    </row>
    <row r="294" spans="1:2" x14ac:dyDescent="0.25">
      <c r="A294" s="35"/>
      <c r="B294" s="37"/>
    </row>
    <row r="295" spans="1:2" x14ac:dyDescent="0.25">
      <c r="A295" s="35"/>
      <c r="B295" s="37"/>
    </row>
    <row r="296" spans="1:2" x14ac:dyDescent="0.25">
      <c r="A296" s="35"/>
      <c r="B296" s="37"/>
    </row>
    <row r="297" spans="1:2" x14ac:dyDescent="0.25">
      <c r="A297" s="35"/>
      <c r="B297" s="37"/>
    </row>
    <row r="298" spans="1:2" x14ac:dyDescent="0.25">
      <c r="A298" s="35"/>
      <c r="B298" s="37"/>
    </row>
    <row r="299" spans="1:2" x14ac:dyDescent="0.25">
      <c r="A299" s="35"/>
      <c r="B299" s="37"/>
    </row>
    <row r="300" spans="1:2" x14ac:dyDescent="0.25">
      <c r="A300" s="35"/>
      <c r="B300" s="37"/>
    </row>
    <row r="301" spans="1:2" x14ac:dyDescent="0.25">
      <c r="A301" s="35"/>
      <c r="B301" s="37"/>
    </row>
    <row r="302" spans="1:2" x14ac:dyDescent="0.25">
      <c r="A302" s="35"/>
      <c r="B302" s="37"/>
    </row>
    <row r="303" spans="1:2" x14ac:dyDescent="0.25">
      <c r="A303" s="35"/>
      <c r="B303" s="37"/>
    </row>
    <row r="304" spans="1:2" x14ac:dyDescent="0.25">
      <c r="A304" s="35"/>
      <c r="B304" s="37"/>
    </row>
    <row r="305" spans="1:2" x14ac:dyDescent="0.25">
      <c r="A305" s="35"/>
      <c r="B305" s="37"/>
    </row>
    <row r="306" spans="1:2" x14ac:dyDescent="0.25">
      <c r="A306" s="35"/>
      <c r="B306" s="37"/>
    </row>
    <row r="307" spans="1:2" x14ac:dyDescent="0.25">
      <c r="A307" s="35"/>
      <c r="B307" s="37"/>
    </row>
    <row r="308" spans="1:2" x14ac:dyDescent="0.25">
      <c r="A308" s="35"/>
      <c r="B308" s="37"/>
    </row>
    <row r="309" spans="1:2" x14ac:dyDescent="0.25">
      <c r="A309" s="35"/>
      <c r="B309" s="37"/>
    </row>
    <row r="310" spans="1:2" x14ac:dyDescent="0.25">
      <c r="A310" s="35"/>
      <c r="B310" s="37"/>
    </row>
    <row r="311" spans="1:2" x14ac:dyDescent="0.25">
      <c r="A311" s="35"/>
      <c r="B311" s="37"/>
    </row>
    <row r="312" spans="1:2" x14ac:dyDescent="0.25">
      <c r="A312" s="35"/>
      <c r="B312" s="37"/>
    </row>
    <row r="313" spans="1:2" x14ac:dyDescent="0.25">
      <c r="A313" s="35"/>
      <c r="B313" s="37"/>
    </row>
    <row r="314" spans="1:2" x14ac:dyDescent="0.25">
      <c r="A314" s="35"/>
      <c r="B314" s="37"/>
    </row>
    <row r="315" spans="1:2" x14ac:dyDescent="0.25">
      <c r="A315" s="35"/>
      <c r="B315" s="37"/>
    </row>
    <row r="316" spans="1:2" x14ac:dyDescent="0.25">
      <c r="A316" s="35"/>
      <c r="B316" s="37"/>
    </row>
    <row r="317" spans="1:2" x14ac:dyDescent="0.25">
      <c r="A317" s="35"/>
      <c r="B317" s="37"/>
    </row>
    <row r="318" spans="1:2" x14ac:dyDescent="0.25">
      <c r="A318" s="35"/>
      <c r="B318" s="37"/>
    </row>
    <row r="319" spans="1:2" x14ac:dyDescent="0.25">
      <c r="A319" s="35"/>
      <c r="B319" s="37"/>
    </row>
    <row r="320" spans="1:2" x14ac:dyDescent="0.25">
      <c r="A320" s="35"/>
      <c r="B320" s="37"/>
    </row>
    <row r="321" spans="1:2" x14ac:dyDescent="0.25">
      <c r="A321" s="35"/>
      <c r="B321" s="37"/>
    </row>
    <row r="322" spans="1:2" x14ac:dyDescent="0.25">
      <c r="A322" s="35"/>
      <c r="B322" s="37"/>
    </row>
    <row r="323" spans="1:2" x14ac:dyDescent="0.25">
      <c r="A323" s="35"/>
      <c r="B323" s="37"/>
    </row>
    <row r="324" spans="1:2" x14ac:dyDescent="0.25">
      <c r="A324" s="35"/>
      <c r="B324" s="37"/>
    </row>
    <row r="325" spans="1:2" x14ac:dyDescent="0.25">
      <c r="A325" s="35"/>
      <c r="B325" s="37"/>
    </row>
    <row r="326" spans="1:2" x14ac:dyDescent="0.25">
      <c r="A326" s="35"/>
      <c r="B326" s="37"/>
    </row>
    <row r="327" spans="1:2" x14ac:dyDescent="0.25">
      <c r="A327" s="35"/>
      <c r="B327" s="37"/>
    </row>
    <row r="328" spans="1:2" x14ac:dyDescent="0.25">
      <c r="A328" s="35"/>
      <c r="B328" s="37"/>
    </row>
    <row r="329" spans="1:2" x14ac:dyDescent="0.25">
      <c r="A329" s="35"/>
      <c r="B329" s="37"/>
    </row>
    <row r="330" spans="1:2" x14ac:dyDescent="0.25">
      <c r="A330" s="35"/>
      <c r="B330" s="37"/>
    </row>
    <row r="331" spans="1:2" x14ac:dyDescent="0.25">
      <c r="A331" s="35"/>
      <c r="B331" s="37"/>
    </row>
    <row r="332" spans="1:2" x14ac:dyDescent="0.25">
      <c r="A332" s="35"/>
      <c r="B332" s="37"/>
    </row>
    <row r="333" spans="1:2" x14ac:dyDescent="0.25">
      <c r="A333" s="35"/>
      <c r="B333" s="37"/>
    </row>
    <row r="334" spans="1:2" x14ac:dyDescent="0.25">
      <c r="A334" s="35"/>
      <c r="B334" s="37"/>
    </row>
    <row r="335" spans="1:2" x14ac:dyDescent="0.25">
      <c r="A335" s="35"/>
      <c r="B335" s="37"/>
    </row>
    <row r="336" spans="1:2" x14ac:dyDescent="0.25">
      <c r="A336" s="35"/>
      <c r="B336" s="37"/>
    </row>
    <row r="337" spans="1:2" x14ac:dyDescent="0.25">
      <c r="A337" s="35"/>
      <c r="B337" s="37"/>
    </row>
    <row r="338" spans="1:2" x14ac:dyDescent="0.25">
      <c r="A338" s="35"/>
      <c r="B338" s="37"/>
    </row>
    <row r="339" spans="1:2" x14ac:dyDescent="0.25">
      <c r="A339" s="35"/>
      <c r="B339" s="37"/>
    </row>
    <row r="340" spans="1:2" x14ac:dyDescent="0.25">
      <c r="A340" s="35"/>
      <c r="B340" s="37"/>
    </row>
    <row r="341" spans="1:2" x14ac:dyDescent="0.25">
      <c r="A341" s="35"/>
      <c r="B341" s="37"/>
    </row>
    <row r="342" spans="1:2" x14ac:dyDescent="0.25">
      <c r="A342" s="35"/>
      <c r="B342" s="37"/>
    </row>
    <row r="343" spans="1:2" x14ac:dyDescent="0.25">
      <c r="A343" s="35"/>
      <c r="B343" s="37"/>
    </row>
    <row r="344" spans="1:2" x14ac:dyDescent="0.25">
      <c r="A344" s="35"/>
      <c r="B344" s="37"/>
    </row>
    <row r="345" spans="1:2" x14ac:dyDescent="0.25">
      <c r="A345" s="35"/>
      <c r="B345" s="37"/>
    </row>
    <row r="346" spans="1:2" x14ac:dyDescent="0.25">
      <c r="A346" s="35"/>
      <c r="B346" s="37"/>
    </row>
    <row r="347" spans="1:2" x14ac:dyDescent="0.25">
      <c r="A347" s="35"/>
      <c r="B347" s="37"/>
    </row>
    <row r="348" spans="1:2" x14ac:dyDescent="0.25">
      <c r="A348" s="35"/>
      <c r="B348" s="37"/>
    </row>
    <row r="349" spans="1:2" x14ac:dyDescent="0.25">
      <c r="A349" s="35"/>
      <c r="B349" s="37"/>
    </row>
    <row r="350" spans="1:2" x14ac:dyDescent="0.25">
      <c r="A350" s="35"/>
      <c r="B350" s="37"/>
    </row>
    <row r="351" spans="1:2" x14ac:dyDescent="0.25">
      <c r="A351" s="35"/>
      <c r="B351" s="37"/>
    </row>
    <row r="352" spans="1:2" x14ac:dyDescent="0.25">
      <c r="A352" s="35"/>
      <c r="B352" s="37"/>
    </row>
    <row r="353" spans="1:2" x14ac:dyDescent="0.25">
      <c r="A353" s="35"/>
      <c r="B353" s="37"/>
    </row>
    <row r="354" spans="1:2" x14ac:dyDescent="0.25">
      <c r="A354" s="35"/>
      <c r="B354" s="37"/>
    </row>
    <row r="355" spans="1:2" x14ac:dyDescent="0.25">
      <c r="A355" s="35"/>
      <c r="B355" s="37"/>
    </row>
    <row r="356" spans="1:2" x14ac:dyDescent="0.25">
      <c r="A356" s="35"/>
      <c r="B356" s="37"/>
    </row>
    <row r="357" spans="1:2" x14ac:dyDescent="0.25">
      <c r="A357" s="35"/>
      <c r="B357" s="37"/>
    </row>
    <row r="358" spans="1:2" x14ac:dyDescent="0.25">
      <c r="A358" s="35"/>
      <c r="B358" s="37"/>
    </row>
    <row r="359" spans="1:2" x14ac:dyDescent="0.25">
      <c r="A359" s="35"/>
      <c r="B359" s="37"/>
    </row>
    <row r="360" spans="1:2" x14ac:dyDescent="0.25">
      <c r="A360" s="35"/>
      <c r="B360" s="37"/>
    </row>
    <row r="361" spans="1:2" x14ac:dyDescent="0.25">
      <c r="A361" s="35"/>
      <c r="B361" s="37"/>
    </row>
    <row r="362" spans="1:2" x14ac:dyDescent="0.25">
      <c r="A362" s="35"/>
      <c r="B362" s="37"/>
    </row>
    <row r="363" spans="1:2" x14ac:dyDescent="0.25">
      <c r="A363" s="35"/>
      <c r="B363" s="37"/>
    </row>
    <row r="364" spans="1:2" x14ac:dyDescent="0.25">
      <c r="A364" s="35"/>
      <c r="B364" s="37"/>
    </row>
    <row r="365" spans="1:2" x14ac:dyDescent="0.25">
      <c r="A365" s="35"/>
      <c r="B365" s="37"/>
    </row>
    <row r="366" spans="1:2" x14ac:dyDescent="0.25">
      <c r="A366" s="35"/>
      <c r="B366" s="37"/>
    </row>
    <row r="367" spans="1:2" x14ac:dyDescent="0.25">
      <c r="A367" s="35"/>
      <c r="B367" s="37"/>
    </row>
    <row r="368" spans="1:2" x14ac:dyDescent="0.25">
      <c r="A368" s="35"/>
      <c r="B368" s="37"/>
    </row>
    <row r="369" spans="1:2" x14ac:dyDescent="0.25">
      <c r="A369" s="35"/>
      <c r="B369" s="37"/>
    </row>
    <row r="370" spans="1:2" x14ac:dyDescent="0.25">
      <c r="A370" s="35"/>
      <c r="B370" s="37"/>
    </row>
    <row r="371" spans="1:2" x14ac:dyDescent="0.25">
      <c r="A371" s="35"/>
      <c r="B371" s="37"/>
    </row>
    <row r="372" spans="1:2" x14ac:dyDescent="0.25">
      <c r="A372" s="35"/>
      <c r="B372" s="37"/>
    </row>
    <row r="373" spans="1:2" x14ac:dyDescent="0.25">
      <c r="A373" s="35"/>
      <c r="B373" s="37"/>
    </row>
    <row r="374" spans="1:2" x14ac:dyDescent="0.25">
      <c r="A374" s="35"/>
      <c r="B374" s="37"/>
    </row>
    <row r="375" spans="1:2" x14ac:dyDescent="0.25">
      <c r="A375" s="35"/>
      <c r="B375" s="37"/>
    </row>
    <row r="376" spans="1:2" x14ac:dyDescent="0.25">
      <c r="A376" s="35"/>
      <c r="B376" s="37"/>
    </row>
    <row r="377" spans="1:2" x14ac:dyDescent="0.25">
      <c r="A377" s="35"/>
      <c r="B377" s="37"/>
    </row>
    <row r="378" spans="1:2" x14ac:dyDescent="0.25">
      <c r="A378" s="35"/>
      <c r="B378" s="37"/>
    </row>
    <row r="379" spans="1:2" x14ac:dyDescent="0.25">
      <c r="A379" s="35"/>
      <c r="B379" s="37"/>
    </row>
    <row r="380" spans="1:2" x14ac:dyDescent="0.25">
      <c r="A380" s="35"/>
      <c r="B380" s="37"/>
    </row>
    <row r="381" spans="1:2" x14ac:dyDescent="0.25">
      <c r="A381" s="35"/>
      <c r="B381" s="37"/>
    </row>
    <row r="382" spans="1:2" x14ac:dyDescent="0.25">
      <c r="A382" s="35"/>
      <c r="B382" s="37"/>
    </row>
    <row r="383" spans="1:2" x14ac:dyDescent="0.25">
      <c r="A383" s="35"/>
      <c r="B383" s="37"/>
    </row>
    <row r="384" spans="1:2" x14ac:dyDescent="0.25">
      <c r="A384" s="35"/>
      <c r="B384" s="37"/>
    </row>
    <row r="385" spans="1:2" x14ac:dyDescent="0.25">
      <c r="A385" s="35"/>
      <c r="B385" s="37"/>
    </row>
    <row r="386" spans="1:2" x14ac:dyDescent="0.25">
      <c r="A386" s="35"/>
      <c r="B386" s="37"/>
    </row>
    <row r="387" spans="1:2" x14ac:dyDescent="0.25">
      <c r="A387" s="35"/>
      <c r="B387" s="37"/>
    </row>
    <row r="388" spans="1:2" x14ac:dyDescent="0.25">
      <c r="A388" s="35"/>
      <c r="B388" s="37"/>
    </row>
    <row r="389" spans="1:2" x14ac:dyDescent="0.25">
      <c r="A389" s="35"/>
      <c r="B389" s="37"/>
    </row>
    <row r="390" spans="1:2" x14ac:dyDescent="0.25">
      <c r="A390" s="35"/>
      <c r="B390" s="37"/>
    </row>
    <row r="391" spans="1:2" x14ac:dyDescent="0.25">
      <c r="A391" s="35"/>
      <c r="B391" s="37"/>
    </row>
    <row r="392" spans="1:2" x14ac:dyDescent="0.25">
      <c r="A392" s="35"/>
      <c r="B392" s="37"/>
    </row>
    <row r="393" spans="1:2" x14ac:dyDescent="0.25">
      <c r="A393" s="35"/>
      <c r="B393" s="37"/>
    </row>
    <row r="394" spans="1:2" x14ac:dyDescent="0.25">
      <c r="A394" s="35"/>
      <c r="B394" s="37"/>
    </row>
    <row r="395" spans="1:2" x14ac:dyDescent="0.25">
      <c r="A395" s="35"/>
      <c r="B395" s="37"/>
    </row>
    <row r="396" spans="1:2" x14ac:dyDescent="0.25">
      <c r="A396" s="35"/>
      <c r="B396" s="37"/>
    </row>
    <row r="397" spans="1:2" x14ac:dyDescent="0.25">
      <c r="A397" s="35"/>
      <c r="B397" s="37"/>
    </row>
    <row r="398" spans="1:2" x14ac:dyDescent="0.25">
      <c r="A398" s="35"/>
      <c r="B398" s="37"/>
    </row>
    <row r="399" spans="1:2" x14ac:dyDescent="0.25">
      <c r="A399" s="35"/>
      <c r="B399" s="37"/>
    </row>
    <row r="400" spans="1:2" x14ac:dyDescent="0.25">
      <c r="A400" s="35"/>
      <c r="B400" s="37"/>
    </row>
    <row r="401" spans="1:2" x14ac:dyDescent="0.25">
      <c r="A401" s="35"/>
      <c r="B401" s="37"/>
    </row>
    <row r="402" spans="1:2" x14ac:dyDescent="0.25">
      <c r="A402" s="35"/>
      <c r="B402" s="37"/>
    </row>
    <row r="403" spans="1:2" x14ac:dyDescent="0.25">
      <c r="A403" s="35"/>
      <c r="B403" s="37"/>
    </row>
    <row r="404" spans="1:2" x14ac:dyDescent="0.25">
      <c r="A404" s="35"/>
      <c r="B404" s="37"/>
    </row>
    <row r="405" spans="1:2" x14ac:dyDescent="0.25">
      <c r="A405" s="35"/>
      <c r="B405" s="37"/>
    </row>
    <row r="406" spans="1:2" x14ac:dyDescent="0.25">
      <c r="A406" s="35"/>
      <c r="B406" s="37"/>
    </row>
    <row r="407" spans="1:2" x14ac:dyDescent="0.25">
      <c r="A407" s="35"/>
      <c r="B407" s="37"/>
    </row>
    <row r="408" spans="1:2" x14ac:dyDescent="0.25">
      <c r="A408" s="35"/>
      <c r="B408" s="37"/>
    </row>
    <row r="409" spans="1:2" x14ac:dyDescent="0.25">
      <c r="A409" s="35"/>
      <c r="B409" s="37"/>
    </row>
    <row r="410" spans="1:2" x14ac:dyDescent="0.25">
      <c r="A410" s="35"/>
      <c r="B410" s="37"/>
    </row>
    <row r="411" spans="1:2" x14ac:dyDescent="0.25">
      <c r="A411" s="35"/>
      <c r="B411" s="37"/>
    </row>
    <row r="412" spans="1:2" x14ac:dyDescent="0.25">
      <c r="A412" s="35"/>
      <c r="B412" s="37"/>
    </row>
    <row r="413" spans="1:2" x14ac:dyDescent="0.25">
      <c r="A413" s="35"/>
      <c r="B413" s="37"/>
    </row>
    <row r="414" spans="1:2" x14ac:dyDescent="0.25">
      <c r="A414" s="35"/>
      <c r="B414" s="37"/>
    </row>
    <row r="415" spans="1:2" x14ac:dyDescent="0.25">
      <c r="A415" s="35"/>
      <c r="B415" s="37"/>
    </row>
    <row r="416" spans="1:2" x14ac:dyDescent="0.25">
      <c r="A416" s="35"/>
      <c r="B416" s="37"/>
    </row>
    <row r="417" spans="1:2" x14ac:dyDescent="0.25">
      <c r="A417" s="35"/>
      <c r="B417" s="37"/>
    </row>
    <row r="418" spans="1:2" x14ac:dyDescent="0.25">
      <c r="A418" s="35"/>
      <c r="B418" s="37"/>
    </row>
    <row r="419" spans="1:2" x14ac:dyDescent="0.25">
      <c r="A419" s="35"/>
      <c r="B419" s="37"/>
    </row>
    <row r="420" spans="1:2" x14ac:dyDescent="0.25">
      <c r="A420" s="35"/>
      <c r="B420" s="37"/>
    </row>
    <row r="421" spans="1:2" x14ac:dyDescent="0.25">
      <c r="A421" s="35"/>
      <c r="B421" s="37"/>
    </row>
    <row r="422" spans="1:2" x14ac:dyDescent="0.25">
      <c r="A422" s="35"/>
      <c r="B422" s="37"/>
    </row>
    <row r="423" spans="1:2" x14ac:dyDescent="0.25">
      <c r="A423" s="35"/>
      <c r="B423" s="37"/>
    </row>
    <row r="424" spans="1:2" x14ac:dyDescent="0.25">
      <c r="A424" s="35"/>
      <c r="B424" s="37"/>
    </row>
    <row r="425" spans="1:2" x14ac:dyDescent="0.25">
      <c r="A425" s="35"/>
      <c r="B425" s="37"/>
    </row>
    <row r="426" spans="1:2" x14ac:dyDescent="0.25">
      <c r="A426" s="35"/>
      <c r="B426" s="37"/>
    </row>
    <row r="427" spans="1:2" x14ac:dyDescent="0.25">
      <c r="A427" s="35"/>
      <c r="B427" s="37"/>
    </row>
    <row r="428" spans="1:2" x14ac:dyDescent="0.25">
      <c r="A428" s="35"/>
      <c r="B428" s="37"/>
    </row>
    <row r="429" spans="1:2" x14ac:dyDescent="0.25">
      <c r="A429" s="35"/>
      <c r="B429" s="37"/>
    </row>
    <row r="430" spans="1:2" x14ac:dyDescent="0.25">
      <c r="A430" s="35"/>
      <c r="B430" s="37"/>
    </row>
    <row r="431" spans="1:2" x14ac:dyDescent="0.25">
      <c r="A431" s="35"/>
      <c r="B431" s="37"/>
    </row>
    <row r="432" spans="1:2" x14ac:dyDescent="0.25">
      <c r="A432" s="35"/>
      <c r="B432" s="37"/>
    </row>
    <row r="433" spans="1:2" x14ac:dyDescent="0.25">
      <c r="A433" s="35"/>
      <c r="B433" s="37"/>
    </row>
    <row r="434" spans="1:2" x14ac:dyDescent="0.25">
      <c r="A434" s="35"/>
      <c r="B434" s="37"/>
    </row>
    <row r="435" spans="1:2" x14ac:dyDescent="0.25">
      <c r="A435" s="35"/>
      <c r="B435" s="37"/>
    </row>
    <row r="436" spans="1:2" x14ac:dyDescent="0.25">
      <c r="A436" s="35"/>
      <c r="B436" s="37"/>
    </row>
    <row r="437" spans="1:2" x14ac:dyDescent="0.25">
      <c r="A437" s="35"/>
      <c r="B437" s="37"/>
    </row>
    <row r="438" spans="1:2" x14ac:dyDescent="0.25">
      <c r="A438" s="35"/>
      <c r="B438" s="37"/>
    </row>
    <row r="439" spans="1:2" x14ac:dyDescent="0.25">
      <c r="A439" s="35"/>
      <c r="B439" s="37"/>
    </row>
    <row r="440" spans="1:2" x14ac:dyDescent="0.25">
      <c r="A440" s="35"/>
      <c r="B440" s="37"/>
    </row>
    <row r="441" spans="1:2" x14ac:dyDescent="0.25">
      <c r="A441" s="35"/>
      <c r="B441" s="37"/>
    </row>
    <row r="442" spans="1:2" x14ac:dyDescent="0.25">
      <c r="A442" s="35"/>
      <c r="B442" s="37"/>
    </row>
    <row r="443" spans="1:2" x14ac:dyDescent="0.25">
      <c r="A443" s="35"/>
      <c r="B443" s="37"/>
    </row>
    <row r="444" spans="1:2" x14ac:dyDescent="0.25">
      <c r="A444" s="35"/>
      <c r="B444" s="37"/>
    </row>
    <row r="445" spans="1:2" x14ac:dyDescent="0.25">
      <c r="A445" s="35"/>
      <c r="B445" s="37"/>
    </row>
    <row r="446" spans="1:2" x14ac:dyDescent="0.25">
      <c r="A446" s="35"/>
      <c r="B446" s="37"/>
    </row>
    <row r="447" spans="1:2" x14ac:dyDescent="0.25">
      <c r="A447" s="35"/>
      <c r="B447" s="37"/>
    </row>
    <row r="448" spans="1:2" x14ac:dyDescent="0.25">
      <c r="A448" s="35"/>
      <c r="B448" s="37"/>
    </row>
    <row r="449" spans="1:2" x14ac:dyDescent="0.25">
      <c r="A449" s="35"/>
      <c r="B449" s="37"/>
    </row>
    <row r="450" spans="1:2" x14ac:dyDescent="0.25">
      <c r="A450" s="35"/>
      <c r="B450" s="37"/>
    </row>
    <row r="451" spans="1:2" x14ac:dyDescent="0.25">
      <c r="A451" s="35"/>
      <c r="B451" s="37"/>
    </row>
    <row r="452" spans="1:2" x14ac:dyDescent="0.25">
      <c r="A452" s="35"/>
      <c r="B452" s="37"/>
    </row>
    <row r="453" spans="1:2" x14ac:dyDescent="0.25">
      <c r="A453" s="35"/>
      <c r="B453" s="37"/>
    </row>
    <row r="454" spans="1:2" x14ac:dyDescent="0.25">
      <c r="A454" s="35"/>
      <c r="B454" s="37"/>
    </row>
    <row r="455" spans="1:2" x14ac:dyDescent="0.25">
      <c r="A455" s="35"/>
      <c r="B455" s="37"/>
    </row>
    <row r="456" spans="1:2" x14ac:dyDescent="0.25">
      <c r="A456" s="35"/>
      <c r="B456" s="37"/>
    </row>
    <row r="457" spans="1:2" x14ac:dyDescent="0.25">
      <c r="A457" s="35"/>
      <c r="B457" s="37"/>
    </row>
    <row r="458" spans="1:2" x14ac:dyDescent="0.25">
      <c r="A458" s="35"/>
      <c r="B458" s="37"/>
    </row>
    <row r="459" spans="1:2" x14ac:dyDescent="0.25">
      <c r="A459" s="35"/>
      <c r="B459" s="37"/>
    </row>
    <row r="460" spans="1:2" x14ac:dyDescent="0.25">
      <c r="A460" s="35"/>
      <c r="B460" s="37"/>
    </row>
    <row r="461" spans="1:2" x14ac:dyDescent="0.25">
      <c r="A461" s="35"/>
      <c r="B461" s="37"/>
    </row>
    <row r="462" spans="1:2" x14ac:dyDescent="0.25">
      <c r="A462" s="35"/>
      <c r="B462" s="37"/>
    </row>
    <row r="463" spans="1:2" x14ac:dyDescent="0.25">
      <c r="A463" s="35"/>
      <c r="B463" s="37"/>
    </row>
    <row r="464" spans="1:2" x14ac:dyDescent="0.25">
      <c r="A464" s="35"/>
      <c r="B464" s="37"/>
    </row>
    <row r="465" spans="1:2" x14ac:dyDescent="0.25">
      <c r="A465" s="35"/>
      <c r="B465" s="37"/>
    </row>
    <row r="466" spans="1:2" x14ac:dyDescent="0.25">
      <c r="A466" s="35"/>
      <c r="B466" s="37"/>
    </row>
    <row r="467" spans="1:2" x14ac:dyDescent="0.25">
      <c r="A467" s="35"/>
      <c r="B467" s="37"/>
    </row>
    <row r="468" spans="1:2" x14ac:dyDescent="0.25">
      <c r="A468" s="35"/>
      <c r="B468" s="37"/>
    </row>
    <row r="469" spans="1:2" x14ac:dyDescent="0.25">
      <c r="A469" s="35"/>
      <c r="B469" s="37"/>
    </row>
    <row r="470" spans="1:2" x14ac:dyDescent="0.25">
      <c r="A470" s="35"/>
      <c r="B470" s="37"/>
    </row>
    <row r="471" spans="1:2" x14ac:dyDescent="0.25">
      <c r="A471" s="35"/>
      <c r="B471" s="37"/>
    </row>
    <row r="472" spans="1:2" x14ac:dyDescent="0.25">
      <c r="A472" s="35"/>
      <c r="B472" s="37"/>
    </row>
    <row r="473" spans="1:2" x14ac:dyDescent="0.25">
      <c r="A473" s="35"/>
      <c r="B473" s="37"/>
    </row>
    <row r="474" spans="1:2" x14ac:dyDescent="0.25">
      <c r="A474" s="35"/>
      <c r="B474" s="37"/>
    </row>
    <row r="475" spans="1:2" x14ac:dyDescent="0.25">
      <c r="A475" s="35"/>
      <c r="B475" s="37"/>
    </row>
    <row r="476" spans="1:2" x14ac:dyDescent="0.25">
      <c r="A476" s="35"/>
      <c r="B476" s="37"/>
    </row>
    <row r="477" spans="1:2" x14ac:dyDescent="0.25">
      <c r="A477" s="35"/>
      <c r="B477" s="37"/>
    </row>
    <row r="478" spans="1:2" x14ac:dyDescent="0.25">
      <c r="A478" s="35"/>
      <c r="B478" s="37"/>
    </row>
    <row r="479" spans="1:2" x14ac:dyDescent="0.25">
      <c r="A479" s="35"/>
      <c r="B479" s="37"/>
    </row>
    <row r="480" spans="1:2" x14ac:dyDescent="0.25">
      <c r="A480" s="35"/>
      <c r="B480" s="37"/>
    </row>
    <row r="481" spans="1:2" x14ac:dyDescent="0.25">
      <c r="A481" s="35"/>
      <c r="B481" s="37"/>
    </row>
    <row r="482" spans="1:2" x14ac:dyDescent="0.25">
      <c r="A482" s="35"/>
      <c r="B482" s="37"/>
    </row>
    <row r="483" spans="1:2" x14ac:dyDescent="0.25">
      <c r="A483" s="35"/>
      <c r="B483" s="37"/>
    </row>
    <row r="484" spans="1:2" x14ac:dyDescent="0.25">
      <c r="A484" s="35"/>
      <c r="B484" s="37"/>
    </row>
    <row r="485" spans="1:2" x14ac:dyDescent="0.25">
      <c r="A485" s="35"/>
      <c r="B485" s="37"/>
    </row>
    <row r="486" spans="1:2" x14ac:dyDescent="0.25">
      <c r="A486" s="35"/>
      <c r="B486" s="37"/>
    </row>
    <row r="487" spans="1:2" x14ac:dyDescent="0.25">
      <c r="A487" s="35"/>
      <c r="B487" s="37"/>
    </row>
    <row r="488" spans="1:2" x14ac:dyDescent="0.25">
      <c r="A488" s="35"/>
      <c r="B488" s="37"/>
    </row>
    <row r="489" spans="1:2" x14ac:dyDescent="0.25">
      <c r="A489" s="35"/>
      <c r="B489" s="37"/>
    </row>
    <row r="490" spans="1:2" x14ac:dyDescent="0.25">
      <c r="A490" s="35"/>
      <c r="B490" s="37"/>
    </row>
    <row r="491" spans="1:2" x14ac:dyDescent="0.25">
      <c r="A491" s="35"/>
      <c r="B491" s="37"/>
    </row>
    <row r="492" spans="1:2" x14ac:dyDescent="0.25">
      <c r="A492" s="35"/>
      <c r="B492" s="37"/>
    </row>
    <row r="493" spans="1:2" x14ac:dyDescent="0.25">
      <c r="A493" s="35"/>
      <c r="B493" s="37"/>
    </row>
    <row r="494" spans="1:2" x14ac:dyDescent="0.25">
      <c r="A494" s="35"/>
      <c r="B494" s="37"/>
    </row>
    <row r="495" spans="1:2" x14ac:dyDescent="0.25">
      <c r="A495" s="35"/>
      <c r="B495" s="37"/>
    </row>
    <row r="496" spans="1:2" x14ac:dyDescent="0.25">
      <c r="A496" s="35"/>
      <c r="B496" s="37"/>
    </row>
    <row r="497" spans="1:2" x14ac:dyDescent="0.25">
      <c r="A497" s="35"/>
      <c r="B497" s="37"/>
    </row>
    <row r="498" spans="1:2" x14ac:dyDescent="0.25">
      <c r="A498" s="35"/>
      <c r="B498" s="37"/>
    </row>
    <row r="499" spans="1:2" x14ac:dyDescent="0.25">
      <c r="A499" s="35"/>
      <c r="B499" s="37"/>
    </row>
    <row r="500" spans="1:2" x14ac:dyDescent="0.25">
      <c r="A500" s="35"/>
      <c r="B500" s="37"/>
    </row>
    <row r="501" spans="1:2" x14ac:dyDescent="0.25">
      <c r="A501" s="35"/>
      <c r="B501" s="37"/>
    </row>
    <row r="502" spans="1:2" x14ac:dyDescent="0.25">
      <c r="A502" s="35"/>
      <c r="B502" s="37"/>
    </row>
    <row r="503" spans="1:2" x14ac:dyDescent="0.25">
      <c r="A503" s="35"/>
      <c r="B503" s="37"/>
    </row>
    <row r="504" spans="1:2" x14ac:dyDescent="0.25">
      <c r="A504" s="35"/>
      <c r="B504" s="37"/>
    </row>
    <row r="505" spans="1:2" x14ac:dyDescent="0.25">
      <c r="A505" s="35"/>
      <c r="B505" s="37"/>
    </row>
    <row r="506" spans="1:2" x14ac:dyDescent="0.25">
      <c r="A506" s="35"/>
      <c r="B506" s="37"/>
    </row>
    <row r="507" spans="1:2" x14ac:dyDescent="0.25">
      <c r="A507" s="35"/>
      <c r="B507" s="37"/>
    </row>
    <row r="508" spans="1:2" x14ac:dyDescent="0.25">
      <c r="A508" s="35"/>
      <c r="B508" s="37"/>
    </row>
    <row r="509" spans="1:2" x14ac:dyDescent="0.25">
      <c r="A509" s="35"/>
      <c r="B509" s="37"/>
    </row>
    <row r="510" spans="1:2" x14ac:dyDescent="0.25">
      <c r="A510" s="35"/>
      <c r="B510" s="37"/>
    </row>
    <row r="511" spans="1:2" x14ac:dyDescent="0.25">
      <c r="A511" s="35"/>
      <c r="B511" s="37"/>
    </row>
    <row r="512" spans="1:2" x14ac:dyDescent="0.25">
      <c r="A512" s="35"/>
      <c r="B512" s="37"/>
    </row>
    <row r="513" spans="1:2" x14ac:dyDescent="0.25">
      <c r="A513" s="35"/>
      <c r="B513" s="37"/>
    </row>
    <row r="514" spans="1:2" x14ac:dyDescent="0.25">
      <c r="A514" s="35"/>
      <c r="B514" s="37"/>
    </row>
    <row r="515" spans="1:2" x14ac:dyDescent="0.25">
      <c r="A515" s="35"/>
      <c r="B515" s="37"/>
    </row>
    <row r="516" spans="1:2" x14ac:dyDescent="0.25">
      <c r="A516" s="35"/>
      <c r="B516" s="37"/>
    </row>
    <row r="517" spans="1:2" x14ac:dyDescent="0.25">
      <c r="A517" s="35"/>
      <c r="B517" s="37"/>
    </row>
    <row r="518" spans="1:2" x14ac:dyDescent="0.25">
      <c r="A518" s="35"/>
      <c r="B518" s="37"/>
    </row>
    <row r="519" spans="1:2" x14ac:dyDescent="0.25">
      <c r="A519" s="35"/>
      <c r="B519" s="37"/>
    </row>
    <row r="520" spans="1:2" x14ac:dyDescent="0.25">
      <c r="A520" s="35"/>
      <c r="B520" s="37"/>
    </row>
    <row r="521" spans="1:2" x14ac:dyDescent="0.25">
      <c r="A521" s="35"/>
      <c r="B521" s="37"/>
    </row>
    <row r="522" spans="1:2" x14ac:dyDescent="0.25">
      <c r="A522" s="35"/>
      <c r="B522" s="37"/>
    </row>
    <row r="523" spans="1:2" x14ac:dyDescent="0.25">
      <c r="A523" s="35"/>
      <c r="B523" s="37"/>
    </row>
    <row r="524" spans="1:2" x14ac:dyDescent="0.25">
      <c r="A524" s="35"/>
      <c r="B524" s="37"/>
    </row>
    <row r="525" spans="1:2" x14ac:dyDescent="0.25">
      <c r="A525" s="35"/>
      <c r="B525" s="37"/>
    </row>
    <row r="526" spans="1:2" x14ac:dyDescent="0.25">
      <c r="A526" s="35"/>
      <c r="B526" s="37"/>
    </row>
    <row r="527" spans="1:2" x14ac:dyDescent="0.25">
      <c r="A527" s="35"/>
      <c r="B527" s="37"/>
    </row>
    <row r="528" spans="1:2" x14ac:dyDescent="0.25">
      <c r="A528" s="35"/>
      <c r="B528" s="37"/>
    </row>
    <row r="529" spans="1:2" x14ac:dyDescent="0.25">
      <c r="A529" s="35"/>
      <c r="B529" s="37"/>
    </row>
    <row r="530" spans="1:2" x14ac:dyDescent="0.25">
      <c r="A530" s="35"/>
      <c r="B530" s="37"/>
    </row>
    <row r="531" spans="1:2" x14ac:dyDescent="0.25">
      <c r="A531" s="35"/>
      <c r="B531" s="37"/>
    </row>
    <row r="532" spans="1:2" x14ac:dyDescent="0.25">
      <c r="A532" s="35"/>
      <c r="B532" s="37"/>
    </row>
    <row r="533" spans="1:2" x14ac:dyDescent="0.25">
      <c r="A533" s="35"/>
      <c r="B533" s="37"/>
    </row>
    <row r="534" spans="1:2" x14ac:dyDescent="0.25">
      <c r="A534" s="35"/>
      <c r="B534" s="37"/>
    </row>
    <row r="535" spans="1:2" x14ac:dyDescent="0.25">
      <c r="A535" s="35"/>
      <c r="B535" s="37"/>
    </row>
    <row r="536" spans="1:2" x14ac:dyDescent="0.25">
      <c r="A536" s="35"/>
      <c r="B536" s="37"/>
    </row>
    <row r="537" spans="1:2" x14ac:dyDescent="0.25">
      <c r="A537" s="35"/>
      <c r="B537" s="37"/>
    </row>
    <row r="538" spans="1:2" x14ac:dyDescent="0.25">
      <c r="A538" s="35"/>
      <c r="B538" s="37"/>
    </row>
    <row r="539" spans="1:2" x14ac:dyDescent="0.25">
      <c r="A539" s="35"/>
      <c r="B539" s="37"/>
    </row>
    <row r="540" spans="1:2" x14ac:dyDescent="0.25">
      <c r="A540" s="35"/>
      <c r="B540" s="37"/>
    </row>
    <row r="541" spans="1:2" x14ac:dyDescent="0.25">
      <c r="A541" s="35"/>
      <c r="B541" s="37"/>
    </row>
    <row r="542" spans="1:2" x14ac:dyDescent="0.25">
      <c r="A542" s="35"/>
      <c r="B542" s="37"/>
    </row>
    <row r="543" spans="1:2" x14ac:dyDescent="0.25">
      <c r="A543" s="35"/>
      <c r="B543" s="37"/>
    </row>
    <row r="544" spans="1:2" x14ac:dyDescent="0.25">
      <c r="A544" s="35"/>
      <c r="B544" s="37"/>
    </row>
    <row r="545" spans="1:2" x14ac:dyDescent="0.25">
      <c r="A545" s="35"/>
      <c r="B545" s="37"/>
    </row>
    <row r="546" spans="1:2" x14ac:dyDescent="0.25">
      <c r="A546" s="35"/>
      <c r="B546" s="37"/>
    </row>
    <row r="547" spans="1:2" x14ac:dyDescent="0.25">
      <c r="A547" s="35"/>
      <c r="B547" s="37"/>
    </row>
    <row r="548" spans="1:2" x14ac:dyDescent="0.25">
      <c r="A548" s="35"/>
      <c r="B548" s="37"/>
    </row>
    <row r="549" spans="1:2" x14ac:dyDescent="0.25">
      <c r="A549" s="35"/>
      <c r="B549" s="37"/>
    </row>
    <row r="550" spans="1:2" x14ac:dyDescent="0.25">
      <c r="A550" s="35"/>
      <c r="B550" s="37"/>
    </row>
    <row r="551" spans="1:2" x14ac:dyDescent="0.25">
      <c r="A551" s="35"/>
      <c r="B551" s="37"/>
    </row>
    <row r="552" spans="1:2" x14ac:dyDescent="0.25">
      <c r="A552" s="35"/>
      <c r="B552" s="37"/>
    </row>
    <row r="553" spans="1:2" x14ac:dyDescent="0.25">
      <c r="A553" s="35"/>
      <c r="B553" s="37"/>
    </row>
    <row r="554" spans="1:2" x14ac:dyDescent="0.25">
      <c r="A554" s="35"/>
      <c r="B554" s="37"/>
    </row>
    <row r="555" spans="1:2" x14ac:dyDescent="0.25">
      <c r="A555" s="35"/>
      <c r="B555" s="37"/>
    </row>
    <row r="556" spans="1:2" x14ac:dyDescent="0.25">
      <c r="A556" s="35"/>
      <c r="B556" s="37"/>
    </row>
    <row r="557" spans="1:2" x14ac:dyDescent="0.25">
      <c r="A557" s="35"/>
      <c r="B557" s="37"/>
    </row>
    <row r="558" spans="1:2" x14ac:dyDescent="0.25">
      <c r="A558" s="35"/>
      <c r="B558" s="37"/>
    </row>
    <row r="559" spans="1:2" x14ac:dyDescent="0.25">
      <c r="A559" s="35"/>
      <c r="B559" s="37"/>
    </row>
    <row r="560" spans="1:2" x14ac:dyDescent="0.25">
      <c r="A560" s="35"/>
      <c r="B560" s="37"/>
    </row>
    <row r="561" spans="1:2" x14ac:dyDescent="0.25">
      <c r="A561" s="35"/>
      <c r="B561" s="37"/>
    </row>
    <row r="562" spans="1:2" x14ac:dyDescent="0.25">
      <c r="A562" s="35"/>
      <c r="B562" s="37"/>
    </row>
    <row r="563" spans="1:2" x14ac:dyDescent="0.25">
      <c r="A563" s="35"/>
      <c r="B563" s="37"/>
    </row>
    <row r="564" spans="1:2" x14ac:dyDescent="0.25">
      <c r="A564" s="35"/>
      <c r="B564" s="37"/>
    </row>
    <row r="565" spans="1:2" x14ac:dyDescent="0.25">
      <c r="A565" s="35"/>
      <c r="B565" s="37"/>
    </row>
    <row r="566" spans="1:2" x14ac:dyDescent="0.25">
      <c r="A566" s="35"/>
      <c r="B566" s="37"/>
    </row>
    <row r="567" spans="1:2" x14ac:dyDescent="0.25">
      <c r="A567" s="35"/>
      <c r="B567" s="37"/>
    </row>
    <row r="568" spans="1:2" x14ac:dyDescent="0.25">
      <c r="A568" s="35"/>
      <c r="B568" s="37"/>
    </row>
    <row r="569" spans="1:2" x14ac:dyDescent="0.25">
      <c r="A569" s="35"/>
      <c r="B569" s="37"/>
    </row>
    <row r="570" spans="1:2" x14ac:dyDescent="0.25">
      <c r="A570" s="35"/>
      <c r="B570" s="37"/>
    </row>
    <row r="571" spans="1:2" x14ac:dyDescent="0.25">
      <c r="A571" s="35"/>
      <c r="B571" s="37"/>
    </row>
    <row r="572" spans="1:2" x14ac:dyDescent="0.25">
      <c r="A572" s="35"/>
      <c r="B572" s="37"/>
    </row>
    <row r="573" spans="1:2" x14ac:dyDescent="0.25">
      <c r="A573" s="35"/>
      <c r="B573" s="37"/>
    </row>
    <row r="574" spans="1:2" x14ac:dyDescent="0.25">
      <c r="A574" s="35"/>
      <c r="B574" s="37"/>
    </row>
    <row r="575" spans="1:2" x14ac:dyDescent="0.25">
      <c r="A575" s="35"/>
      <c r="B575" s="37"/>
    </row>
    <row r="576" spans="1:2" x14ac:dyDescent="0.25">
      <c r="A576" s="35"/>
      <c r="B576" s="37"/>
    </row>
    <row r="577" spans="1:2" x14ac:dyDescent="0.25">
      <c r="A577" s="35"/>
      <c r="B577" s="37"/>
    </row>
    <row r="578" spans="1:2" x14ac:dyDescent="0.25">
      <c r="A578" s="35"/>
      <c r="B578" s="37"/>
    </row>
    <row r="579" spans="1:2" x14ac:dyDescent="0.25">
      <c r="A579" s="35"/>
      <c r="B579" s="37"/>
    </row>
    <row r="580" spans="1:2" x14ac:dyDescent="0.25">
      <c r="A580" s="35"/>
      <c r="B580" s="37"/>
    </row>
    <row r="581" spans="1:2" x14ac:dyDescent="0.25">
      <c r="A581" s="35"/>
      <c r="B581" s="37"/>
    </row>
    <row r="582" spans="1:2" x14ac:dyDescent="0.25">
      <c r="A582" s="35"/>
      <c r="B582" s="37"/>
    </row>
    <row r="583" spans="1:2" x14ac:dyDescent="0.25">
      <c r="A583" s="35"/>
      <c r="B583" s="37"/>
    </row>
    <row r="584" spans="1:2" x14ac:dyDescent="0.25">
      <c r="A584" s="35"/>
      <c r="B584" s="37"/>
    </row>
    <row r="585" spans="1:2" x14ac:dyDescent="0.25">
      <c r="A585" s="35"/>
      <c r="B585" s="37"/>
    </row>
    <row r="586" spans="1:2" x14ac:dyDescent="0.25">
      <c r="A586" s="35"/>
      <c r="B586" s="37"/>
    </row>
    <row r="587" spans="1:2" x14ac:dyDescent="0.25">
      <c r="A587" s="35"/>
      <c r="B587" s="37"/>
    </row>
    <row r="588" spans="1:2" x14ac:dyDescent="0.25">
      <c r="A588" s="35"/>
      <c r="B588" s="37"/>
    </row>
    <row r="589" spans="1:2" x14ac:dyDescent="0.25">
      <c r="A589" s="35"/>
      <c r="B589" s="37"/>
    </row>
    <row r="590" spans="1:2" x14ac:dyDescent="0.25">
      <c r="A590" s="35"/>
      <c r="B590" s="37"/>
    </row>
    <row r="591" spans="1:2" x14ac:dyDescent="0.25">
      <c r="A591" s="35"/>
      <c r="B591" s="37"/>
    </row>
    <row r="592" spans="1:2" x14ac:dyDescent="0.25">
      <c r="A592" s="35"/>
      <c r="B592" s="37"/>
    </row>
    <row r="593" spans="1:2" x14ac:dyDescent="0.25">
      <c r="A593" s="35"/>
      <c r="B593" s="37"/>
    </row>
    <row r="594" spans="1:2" x14ac:dyDescent="0.25">
      <c r="A594" s="35"/>
      <c r="B594" s="37"/>
    </row>
    <row r="595" spans="1:2" x14ac:dyDescent="0.25">
      <c r="A595" s="35"/>
      <c r="B595" s="37"/>
    </row>
    <row r="596" spans="1:2" x14ac:dyDescent="0.25">
      <c r="A596" s="35"/>
      <c r="B596" s="37"/>
    </row>
    <row r="597" spans="1:2" x14ac:dyDescent="0.25">
      <c r="A597" s="35"/>
      <c r="B597" s="37"/>
    </row>
    <row r="598" spans="1:2" x14ac:dyDescent="0.25">
      <c r="A598" s="35"/>
      <c r="B598" s="37"/>
    </row>
    <row r="599" spans="1:2" x14ac:dyDescent="0.25">
      <c r="A599" s="35"/>
      <c r="B599" s="37"/>
    </row>
    <row r="600" spans="1:2" x14ac:dyDescent="0.25">
      <c r="A600" s="35"/>
      <c r="B600" s="37"/>
    </row>
    <row r="601" spans="1:2" x14ac:dyDescent="0.25">
      <c r="A601" s="35"/>
      <c r="B601" s="37"/>
    </row>
    <row r="602" spans="1:2" x14ac:dyDescent="0.25">
      <c r="A602" s="35"/>
      <c r="B602" s="37"/>
    </row>
    <row r="603" spans="1:2" x14ac:dyDescent="0.25">
      <c r="A603" s="35"/>
      <c r="B603" s="37"/>
    </row>
    <row r="604" spans="1:2" x14ac:dyDescent="0.25">
      <c r="A604" s="35"/>
      <c r="B604" s="37"/>
    </row>
    <row r="605" spans="1:2" x14ac:dyDescent="0.25">
      <c r="A605" s="35"/>
      <c r="B605" s="37"/>
    </row>
    <row r="606" spans="1:2" x14ac:dyDescent="0.25">
      <c r="A606" s="35"/>
      <c r="B606" s="37"/>
    </row>
    <row r="607" spans="1:2" x14ac:dyDescent="0.25">
      <c r="A607" s="35"/>
      <c r="B607" s="37"/>
    </row>
    <row r="608" spans="1:2" x14ac:dyDescent="0.25">
      <c r="A608" s="35"/>
      <c r="B608" s="37"/>
    </row>
    <row r="609" spans="1:2" x14ac:dyDescent="0.25">
      <c r="A609" s="35"/>
      <c r="B609" s="37"/>
    </row>
    <row r="610" spans="1:2" x14ac:dyDescent="0.25">
      <c r="A610" s="35"/>
      <c r="B610" s="37"/>
    </row>
    <row r="611" spans="1:2" x14ac:dyDescent="0.25">
      <c r="A611" s="35"/>
      <c r="B611" s="37"/>
    </row>
    <row r="612" spans="1:2" x14ac:dyDescent="0.25">
      <c r="A612" s="35"/>
      <c r="B612" s="37"/>
    </row>
    <row r="613" spans="1:2" x14ac:dyDescent="0.25">
      <c r="A613" s="35"/>
      <c r="B613" s="37"/>
    </row>
    <row r="614" spans="1:2" x14ac:dyDescent="0.25">
      <c r="A614" s="35"/>
      <c r="B614" s="37"/>
    </row>
    <row r="615" spans="1:2" x14ac:dyDescent="0.25">
      <c r="A615" s="35"/>
      <c r="B615" s="37"/>
    </row>
    <row r="616" spans="1:2" x14ac:dyDescent="0.25">
      <c r="A616" s="35"/>
      <c r="B616" s="37"/>
    </row>
    <row r="617" spans="1:2" x14ac:dyDescent="0.25">
      <c r="A617" s="35"/>
      <c r="B617" s="37"/>
    </row>
    <row r="618" spans="1:2" x14ac:dyDescent="0.25">
      <c r="A618" s="35"/>
      <c r="B618" s="37"/>
    </row>
    <row r="619" spans="1:2" x14ac:dyDescent="0.25">
      <c r="A619" s="35"/>
      <c r="B619" s="37"/>
    </row>
    <row r="620" spans="1:2" x14ac:dyDescent="0.25">
      <c r="A620" s="35"/>
      <c r="B620" s="37"/>
    </row>
    <row r="621" spans="1:2" x14ac:dyDescent="0.25">
      <c r="A621" s="35"/>
      <c r="B621" s="37"/>
    </row>
    <row r="622" spans="1:2" x14ac:dyDescent="0.25">
      <c r="A622" s="35"/>
      <c r="B622" s="37"/>
    </row>
    <row r="623" spans="1:2" x14ac:dyDescent="0.25">
      <c r="A623" s="35"/>
      <c r="B623" s="37"/>
    </row>
    <row r="624" spans="1:2" x14ac:dyDescent="0.25">
      <c r="A624" s="35"/>
      <c r="B624" s="37"/>
    </row>
    <row r="625" spans="1:2" x14ac:dyDescent="0.25">
      <c r="A625" s="35"/>
      <c r="B625" s="37"/>
    </row>
    <row r="626" spans="1:2" x14ac:dyDescent="0.25">
      <c r="A626" s="35"/>
      <c r="B626" s="37"/>
    </row>
    <row r="627" spans="1:2" x14ac:dyDescent="0.25">
      <c r="A627" s="35"/>
      <c r="B627" s="37"/>
    </row>
    <row r="628" spans="1:2" x14ac:dyDescent="0.25">
      <c r="A628" s="35"/>
      <c r="B628" s="37"/>
    </row>
    <row r="629" spans="1:2" x14ac:dyDescent="0.25">
      <c r="A629" s="35"/>
      <c r="B629" s="37"/>
    </row>
    <row r="630" spans="1:2" x14ac:dyDescent="0.25">
      <c r="A630" s="35"/>
      <c r="B630" s="37"/>
    </row>
    <row r="631" spans="1:2" x14ac:dyDescent="0.25">
      <c r="A631" s="35"/>
      <c r="B631" s="37"/>
    </row>
    <row r="632" spans="1:2" x14ac:dyDescent="0.25">
      <c r="A632" s="35"/>
      <c r="B632" s="37"/>
    </row>
    <row r="633" spans="1:2" x14ac:dyDescent="0.25">
      <c r="A633" s="35"/>
      <c r="B633" s="37"/>
    </row>
    <row r="634" spans="1:2" x14ac:dyDescent="0.25">
      <c r="A634" s="35"/>
      <c r="B634" s="37"/>
    </row>
    <row r="635" spans="1:2" x14ac:dyDescent="0.25">
      <c r="A635" s="35"/>
      <c r="B635" s="37"/>
    </row>
    <row r="636" spans="1:2" x14ac:dyDescent="0.25">
      <c r="A636" s="35"/>
      <c r="B636" s="37"/>
    </row>
    <row r="637" spans="1:2" x14ac:dyDescent="0.25">
      <c r="A637" s="35"/>
      <c r="B637" s="37"/>
    </row>
    <row r="638" spans="1:2" x14ac:dyDescent="0.25">
      <c r="A638" s="35"/>
      <c r="B638" s="37"/>
    </row>
    <row r="639" spans="1:2" x14ac:dyDescent="0.25">
      <c r="A639" s="35"/>
      <c r="B639" s="37"/>
    </row>
    <row r="640" spans="1:2" x14ac:dyDescent="0.25">
      <c r="A640" s="35"/>
      <c r="B640" s="37"/>
    </row>
    <row r="641" spans="1:2" x14ac:dyDescent="0.25">
      <c r="A641" s="35"/>
      <c r="B641" s="37"/>
    </row>
    <row r="642" spans="1:2" x14ac:dyDescent="0.25">
      <c r="A642" s="35"/>
      <c r="B642" s="37"/>
    </row>
    <row r="643" spans="1:2" x14ac:dyDescent="0.25">
      <c r="A643" s="35"/>
      <c r="B643" s="37"/>
    </row>
    <row r="644" spans="1:2" x14ac:dyDescent="0.25">
      <c r="A644" s="35"/>
      <c r="B644" s="37"/>
    </row>
    <row r="645" spans="1:2" x14ac:dyDescent="0.25">
      <c r="A645" s="35"/>
      <c r="B645" s="37"/>
    </row>
    <row r="646" spans="1:2" x14ac:dyDescent="0.25">
      <c r="A646" s="35"/>
      <c r="B646" s="37"/>
    </row>
    <row r="647" spans="1:2" x14ac:dyDescent="0.25">
      <c r="A647" s="35"/>
      <c r="B647" s="37"/>
    </row>
    <row r="648" spans="1:2" x14ac:dyDescent="0.25">
      <c r="A648" s="35"/>
      <c r="B648" s="37"/>
    </row>
    <row r="649" spans="1:2" x14ac:dyDescent="0.25">
      <c r="A649" s="35"/>
      <c r="B649" s="37"/>
    </row>
    <row r="650" spans="1:2" x14ac:dyDescent="0.25">
      <c r="A650" s="35"/>
      <c r="B650" s="37"/>
    </row>
    <row r="651" spans="1:2" x14ac:dyDescent="0.25">
      <c r="A651" s="35"/>
      <c r="B651" s="37"/>
    </row>
    <row r="652" spans="1:2" x14ac:dyDescent="0.25">
      <c r="A652" s="35"/>
      <c r="B652" s="37"/>
    </row>
    <row r="653" spans="1:2" x14ac:dyDescent="0.25">
      <c r="A653" s="35"/>
      <c r="B653" s="37"/>
    </row>
    <row r="654" spans="1:2" x14ac:dyDescent="0.25">
      <c r="A654" s="35"/>
      <c r="B654" s="37"/>
    </row>
    <row r="655" spans="1:2" x14ac:dyDescent="0.25">
      <c r="A655" s="35"/>
      <c r="B655" s="37"/>
    </row>
    <row r="656" spans="1:2" x14ac:dyDescent="0.25">
      <c r="A656" s="35"/>
      <c r="B656" s="37"/>
    </row>
    <row r="657" spans="1:2" x14ac:dyDescent="0.25">
      <c r="A657" s="35"/>
      <c r="B657" s="37"/>
    </row>
    <row r="658" spans="1:2" x14ac:dyDescent="0.25">
      <c r="A658" s="35"/>
      <c r="B658" s="37"/>
    </row>
    <row r="659" spans="1:2" x14ac:dyDescent="0.25">
      <c r="A659" s="35"/>
      <c r="B659" s="37"/>
    </row>
    <row r="660" spans="1:2" x14ac:dyDescent="0.25">
      <c r="A660" s="35"/>
      <c r="B660" s="37"/>
    </row>
    <row r="661" spans="1:2" x14ac:dyDescent="0.25">
      <c r="A661" s="35"/>
      <c r="B661" s="37"/>
    </row>
    <row r="662" spans="1:2" x14ac:dyDescent="0.25">
      <c r="A662" s="35"/>
      <c r="B662" s="37"/>
    </row>
    <row r="663" spans="1:2" x14ac:dyDescent="0.25">
      <c r="A663" s="35"/>
      <c r="B663" s="37"/>
    </row>
    <row r="664" spans="1:2" x14ac:dyDescent="0.25">
      <c r="A664" s="35"/>
      <c r="B664" s="37"/>
    </row>
    <row r="665" spans="1:2" x14ac:dyDescent="0.25">
      <c r="A665" s="35"/>
      <c r="B665" s="37"/>
    </row>
    <row r="666" spans="1:2" x14ac:dyDescent="0.25">
      <c r="A666" s="35"/>
      <c r="B666" s="37"/>
    </row>
    <row r="667" spans="1:2" x14ac:dyDescent="0.25">
      <c r="A667" s="35"/>
      <c r="B667" s="37"/>
    </row>
    <row r="668" spans="1:2" x14ac:dyDescent="0.25">
      <c r="A668" s="35"/>
      <c r="B668" s="37"/>
    </row>
    <row r="669" spans="1:2" x14ac:dyDescent="0.25">
      <c r="A669" s="35"/>
      <c r="B669" s="37"/>
    </row>
    <row r="670" spans="1:2" x14ac:dyDescent="0.25">
      <c r="A670" s="35"/>
      <c r="B670" s="37"/>
    </row>
    <row r="671" spans="1:2" x14ac:dyDescent="0.25">
      <c r="A671" s="35"/>
      <c r="B671" s="37"/>
    </row>
    <row r="672" spans="1:2" x14ac:dyDescent="0.25">
      <c r="A672" s="35"/>
      <c r="B672" s="37"/>
    </row>
    <row r="673" spans="1:2" x14ac:dyDescent="0.25">
      <c r="A673" s="35"/>
      <c r="B673" s="37"/>
    </row>
    <row r="674" spans="1:2" x14ac:dyDescent="0.25">
      <c r="A674" s="35"/>
      <c r="B674" s="37"/>
    </row>
    <row r="675" spans="1:2" x14ac:dyDescent="0.25">
      <c r="A675" s="35"/>
      <c r="B675" s="37"/>
    </row>
    <row r="676" spans="1:2" x14ac:dyDescent="0.25">
      <c r="A676" s="35"/>
      <c r="B676" s="37"/>
    </row>
    <row r="677" spans="1:2" x14ac:dyDescent="0.25">
      <c r="A677" s="35"/>
      <c r="B677" s="37"/>
    </row>
    <row r="678" spans="1:2" x14ac:dyDescent="0.25">
      <c r="A678" s="35"/>
      <c r="B678" s="37"/>
    </row>
    <row r="679" spans="1:2" x14ac:dyDescent="0.25">
      <c r="A679" s="35"/>
      <c r="B679" s="37"/>
    </row>
    <row r="680" spans="1:2" x14ac:dyDescent="0.25">
      <c r="A680" s="35"/>
      <c r="B680" s="37"/>
    </row>
    <row r="681" spans="1:2" x14ac:dyDescent="0.25">
      <c r="A681" s="35"/>
      <c r="B681" s="37"/>
    </row>
    <row r="682" spans="1:2" x14ac:dyDescent="0.25">
      <c r="A682" s="35"/>
      <c r="B682" s="37"/>
    </row>
    <row r="683" spans="1:2" x14ac:dyDescent="0.25">
      <c r="A683" s="35"/>
      <c r="B683" s="37"/>
    </row>
    <row r="684" spans="1:2" x14ac:dyDescent="0.25">
      <c r="A684" s="35"/>
      <c r="B684" s="37"/>
    </row>
    <row r="685" spans="1:2" x14ac:dyDescent="0.25">
      <c r="A685" s="35"/>
      <c r="B685" s="37"/>
    </row>
    <row r="686" spans="1:2" x14ac:dyDescent="0.25">
      <c r="A686" s="35"/>
      <c r="B686" s="37"/>
    </row>
    <row r="687" spans="1:2" x14ac:dyDescent="0.25">
      <c r="A687" s="35"/>
      <c r="B687" s="37"/>
    </row>
    <row r="688" spans="1:2" x14ac:dyDescent="0.25">
      <c r="A688" s="35"/>
      <c r="B688" s="37"/>
    </row>
    <row r="689" spans="1:2" x14ac:dyDescent="0.25">
      <c r="A689" s="35"/>
      <c r="B689" s="37"/>
    </row>
    <row r="690" spans="1:2" x14ac:dyDescent="0.25">
      <c r="A690" s="35"/>
      <c r="B690" s="37"/>
    </row>
    <row r="691" spans="1:2" x14ac:dyDescent="0.25">
      <c r="A691" s="35"/>
      <c r="B691" s="37"/>
    </row>
    <row r="692" spans="1:2" x14ac:dyDescent="0.25">
      <c r="A692" s="35"/>
      <c r="B692" s="37"/>
    </row>
    <row r="693" spans="1:2" x14ac:dyDescent="0.25">
      <c r="A693" s="35"/>
      <c r="B693" s="37"/>
    </row>
    <row r="694" spans="1:2" x14ac:dyDescent="0.25">
      <c r="A694" s="35"/>
      <c r="B694" s="37"/>
    </row>
    <row r="695" spans="1:2" x14ac:dyDescent="0.25">
      <c r="A695" s="35"/>
      <c r="B695" s="37"/>
    </row>
    <row r="696" spans="1:2" x14ac:dyDescent="0.25">
      <c r="A696" s="35"/>
      <c r="B696" s="37"/>
    </row>
    <row r="697" spans="1:2" x14ac:dyDescent="0.25">
      <c r="A697" s="35"/>
      <c r="B697" s="37"/>
    </row>
    <row r="698" spans="1:2" x14ac:dyDescent="0.25">
      <c r="A698" s="35"/>
      <c r="B698" s="37"/>
    </row>
    <row r="699" spans="1:2" x14ac:dyDescent="0.25">
      <c r="A699" s="35"/>
      <c r="B699" s="37"/>
    </row>
    <row r="700" spans="1:2" x14ac:dyDescent="0.25">
      <c r="A700" s="35"/>
      <c r="B700" s="37"/>
    </row>
    <row r="701" spans="1:2" x14ac:dyDescent="0.25">
      <c r="A701" s="35"/>
      <c r="B701" s="37"/>
    </row>
    <row r="702" spans="1:2" x14ac:dyDescent="0.25">
      <c r="A702" s="35"/>
      <c r="B702" s="37"/>
    </row>
    <row r="703" spans="1:2" x14ac:dyDescent="0.25">
      <c r="A703" s="35"/>
      <c r="B703" s="37"/>
    </row>
    <row r="704" spans="1:2" x14ac:dyDescent="0.25">
      <c r="A704" s="35"/>
      <c r="B704" s="37"/>
    </row>
    <row r="705" spans="1:2" x14ac:dyDescent="0.25">
      <c r="A705" s="35"/>
      <c r="B705" s="37"/>
    </row>
    <row r="706" spans="1:2" x14ac:dyDescent="0.25">
      <c r="A706" s="35"/>
      <c r="B706" s="37"/>
    </row>
    <row r="707" spans="1:2" x14ac:dyDescent="0.25">
      <c r="A707" s="35"/>
      <c r="B707" s="37"/>
    </row>
    <row r="708" spans="1:2" x14ac:dyDescent="0.25">
      <c r="A708" s="35"/>
      <c r="B708" s="37"/>
    </row>
    <row r="709" spans="1:2" x14ac:dyDescent="0.25">
      <c r="A709" s="35"/>
      <c r="B709" s="37"/>
    </row>
    <row r="710" spans="1:2" x14ac:dyDescent="0.25">
      <c r="A710" s="35"/>
      <c r="B710" s="37"/>
    </row>
    <row r="711" spans="1:2" x14ac:dyDescent="0.25">
      <c r="A711" s="35"/>
      <c r="B711" s="37"/>
    </row>
    <row r="712" spans="1:2" x14ac:dyDescent="0.25">
      <c r="A712" s="35"/>
      <c r="B712" s="37"/>
    </row>
    <row r="713" spans="1:2" x14ac:dyDescent="0.25">
      <c r="A713" s="35"/>
      <c r="B713" s="37"/>
    </row>
    <row r="714" spans="1:2" x14ac:dyDescent="0.25">
      <c r="A714" s="35"/>
      <c r="B714" s="37"/>
    </row>
    <row r="715" spans="1:2" x14ac:dyDescent="0.25">
      <c r="A715" s="35"/>
      <c r="B715" s="37"/>
    </row>
    <row r="716" spans="1:2" x14ac:dyDescent="0.25">
      <c r="A716" s="35"/>
      <c r="B716" s="37"/>
    </row>
    <row r="717" spans="1:2" x14ac:dyDescent="0.25">
      <c r="A717" s="35"/>
      <c r="B717" s="37"/>
    </row>
    <row r="718" spans="1:2" x14ac:dyDescent="0.25">
      <c r="A718" s="35"/>
      <c r="B718" s="37"/>
    </row>
    <row r="719" spans="1:2" x14ac:dyDescent="0.25">
      <c r="A719" s="35"/>
      <c r="B719" s="37"/>
    </row>
    <row r="720" spans="1:2" x14ac:dyDescent="0.25">
      <c r="A720" s="35"/>
      <c r="B720" s="37"/>
    </row>
    <row r="721" spans="1:2" x14ac:dyDescent="0.25">
      <c r="A721" s="35"/>
      <c r="B721" s="37"/>
    </row>
    <row r="722" spans="1:2" x14ac:dyDescent="0.25">
      <c r="A722" s="35"/>
      <c r="B722" s="37"/>
    </row>
    <row r="723" spans="1:2" x14ac:dyDescent="0.25">
      <c r="A723" s="35"/>
      <c r="B723" s="37"/>
    </row>
    <row r="724" spans="1:2" x14ac:dyDescent="0.25">
      <c r="A724" s="35"/>
      <c r="B724" s="37"/>
    </row>
    <row r="725" spans="1:2" x14ac:dyDescent="0.25">
      <c r="A725" s="35"/>
      <c r="B725" s="37"/>
    </row>
    <row r="726" spans="1:2" x14ac:dyDescent="0.25">
      <c r="A726" s="35"/>
      <c r="B726" s="37"/>
    </row>
    <row r="727" spans="1:2" x14ac:dyDescent="0.25">
      <c r="A727" s="35"/>
      <c r="B727" s="37"/>
    </row>
    <row r="728" spans="1:2" x14ac:dyDescent="0.25">
      <c r="A728" s="35"/>
      <c r="B728" s="37"/>
    </row>
    <row r="729" spans="1:2" x14ac:dyDescent="0.25">
      <c r="A729" s="35"/>
      <c r="B729" s="37"/>
    </row>
    <row r="730" spans="1:2" x14ac:dyDescent="0.25">
      <c r="A730" s="35"/>
      <c r="B730" s="37"/>
    </row>
    <row r="731" spans="1:2" x14ac:dyDescent="0.25">
      <c r="A731" s="35"/>
      <c r="B731" s="37"/>
    </row>
    <row r="732" spans="1:2" x14ac:dyDescent="0.25">
      <c r="A732" s="35"/>
      <c r="B732" s="37"/>
    </row>
    <row r="733" spans="1:2" x14ac:dyDescent="0.25">
      <c r="A733" s="35"/>
      <c r="B733" s="37"/>
    </row>
    <row r="734" spans="1:2" x14ac:dyDescent="0.25">
      <c r="A734" s="35"/>
      <c r="B734" s="37"/>
    </row>
    <row r="735" spans="1:2" x14ac:dyDescent="0.25">
      <c r="A735" s="35"/>
      <c r="B735" s="37"/>
    </row>
    <row r="736" spans="1:2" x14ac:dyDescent="0.25">
      <c r="A736" s="35"/>
      <c r="B736" s="37"/>
    </row>
    <row r="737" spans="1:2" x14ac:dyDescent="0.25">
      <c r="A737" s="35"/>
      <c r="B737" s="37"/>
    </row>
    <row r="738" spans="1:2" x14ac:dyDescent="0.25">
      <c r="A738" s="35"/>
      <c r="B738" s="37"/>
    </row>
    <row r="739" spans="1:2" x14ac:dyDescent="0.25">
      <c r="A739" s="35"/>
      <c r="B739" s="37"/>
    </row>
    <row r="740" spans="1:2" x14ac:dyDescent="0.25">
      <c r="A740" s="35"/>
      <c r="B740" s="37"/>
    </row>
    <row r="741" spans="1:2" x14ac:dyDescent="0.25">
      <c r="A741" s="35"/>
      <c r="B741" s="37"/>
    </row>
    <row r="742" spans="1:2" x14ac:dyDescent="0.25">
      <c r="A742" s="35"/>
      <c r="B742" s="37"/>
    </row>
    <row r="743" spans="1:2" x14ac:dyDescent="0.25">
      <c r="A743" s="35"/>
      <c r="B743" s="37"/>
    </row>
    <row r="744" spans="1:2" x14ac:dyDescent="0.25">
      <c r="A744" s="35"/>
      <c r="B744" s="37"/>
    </row>
    <row r="745" spans="1:2" x14ac:dyDescent="0.25">
      <c r="A745" s="35"/>
      <c r="B745" s="37"/>
    </row>
    <row r="746" spans="1:2" x14ac:dyDescent="0.25">
      <c r="A746" s="35"/>
      <c r="B746" s="37"/>
    </row>
    <row r="747" spans="1:2" x14ac:dyDescent="0.25">
      <c r="A747" s="35"/>
      <c r="B747" s="37"/>
    </row>
    <row r="748" spans="1:2" x14ac:dyDescent="0.25">
      <c r="A748" s="35"/>
      <c r="B748" s="37"/>
    </row>
    <row r="749" spans="1:2" x14ac:dyDescent="0.25">
      <c r="A749" s="35"/>
      <c r="B749" s="37"/>
    </row>
    <row r="750" spans="1:2" x14ac:dyDescent="0.25">
      <c r="A750" s="35"/>
      <c r="B750" s="37"/>
    </row>
    <row r="751" spans="1:2" x14ac:dyDescent="0.25">
      <c r="A751" s="35"/>
      <c r="B751" s="37"/>
    </row>
    <row r="752" spans="1:2" x14ac:dyDescent="0.25">
      <c r="A752" s="35"/>
      <c r="B752" s="37"/>
    </row>
    <row r="753" spans="1:2" x14ac:dyDescent="0.25">
      <c r="A753" s="35"/>
      <c r="B753" s="37"/>
    </row>
    <row r="754" spans="1:2" x14ac:dyDescent="0.25">
      <c r="A754" s="35"/>
      <c r="B754" s="37"/>
    </row>
    <row r="755" spans="1:2" x14ac:dyDescent="0.25">
      <c r="A755" s="35"/>
      <c r="B755" s="37"/>
    </row>
    <row r="756" spans="1:2" x14ac:dyDescent="0.25">
      <c r="A756" s="35"/>
      <c r="B756" s="37"/>
    </row>
    <row r="757" spans="1:2" x14ac:dyDescent="0.25">
      <c r="A757" s="35"/>
      <c r="B757" s="37"/>
    </row>
    <row r="758" spans="1:2" x14ac:dyDescent="0.25">
      <c r="A758" s="35"/>
      <c r="B758" s="37"/>
    </row>
    <row r="759" spans="1:2" x14ac:dyDescent="0.25">
      <c r="A759" s="35"/>
      <c r="B759" s="37"/>
    </row>
    <row r="760" spans="1:2" x14ac:dyDescent="0.25">
      <c r="A760" s="35"/>
      <c r="B760" s="37"/>
    </row>
    <row r="761" spans="1:2" x14ac:dyDescent="0.25">
      <c r="A761" s="35"/>
      <c r="B761" s="37"/>
    </row>
    <row r="762" spans="1:2" x14ac:dyDescent="0.25">
      <c r="A762" s="35"/>
      <c r="B762" s="37"/>
    </row>
    <row r="763" spans="1:2" x14ac:dyDescent="0.25">
      <c r="A763" s="35"/>
      <c r="B763" s="37"/>
    </row>
    <row r="764" spans="1:2" x14ac:dyDescent="0.25">
      <c r="A764" s="35"/>
      <c r="B764" s="37"/>
    </row>
    <row r="765" spans="1:2" x14ac:dyDescent="0.25">
      <c r="A765" s="35"/>
      <c r="B765" s="37"/>
    </row>
    <row r="766" spans="1:2" x14ac:dyDescent="0.25">
      <c r="A766" s="35"/>
      <c r="B766" s="37"/>
    </row>
    <row r="767" spans="1:2" x14ac:dyDescent="0.25">
      <c r="A767" s="35"/>
      <c r="B767" s="37"/>
    </row>
    <row r="768" spans="1:2" x14ac:dyDescent="0.25">
      <c r="A768" s="35"/>
      <c r="B768" s="37"/>
    </row>
    <row r="769" spans="1:2" x14ac:dyDescent="0.25">
      <c r="A769" s="35"/>
      <c r="B769" s="37"/>
    </row>
    <row r="770" spans="1:2" x14ac:dyDescent="0.25">
      <c r="A770" s="35"/>
      <c r="B770" s="37"/>
    </row>
    <row r="771" spans="1:2" x14ac:dyDescent="0.25">
      <c r="A771" s="35"/>
      <c r="B771" s="37"/>
    </row>
    <row r="772" spans="1:2" x14ac:dyDescent="0.25">
      <c r="A772" s="35"/>
      <c r="B772" s="37"/>
    </row>
    <row r="773" spans="1:2" x14ac:dyDescent="0.25">
      <c r="A773" s="35"/>
      <c r="B773" s="37"/>
    </row>
    <row r="774" spans="1:2" x14ac:dyDescent="0.25">
      <c r="A774" s="35"/>
      <c r="B774" s="37"/>
    </row>
    <row r="775" spans="1:2" x14ac:dyDescent="0.25">
      <c r="A775" s="35"/>
      <c r="B775" s="37"/>
    </row>
    <row r="776" spans="1:2" x14ac:dyDescent="0.25">
      <c r="A776" s="35"/>
      <c r="B776" s="37"/>
    </row>
    <row r="777" spans="1:2" x14ac:dyDescent="0.25">
      <c r="A777" s="35"/>
      <c r="B777" s="37"/>
    </row>
    <row r="778" spans="1:2" x14ac:dyDescent="0.25">
      <c r="A778" s="35"/>
      <c r="B778" s="37"/>
    </row>
    <row r="779" spans="1:2" x14ac:dyDescent="0.25">
      <c r="A779" s="35"/>
      <c r="B779" s="37"/>
    </row>
    <row r="780" spans="1:2" x14ac:dyDescent="0.25">
      <c r="A780" s="35"/>
      <c r="B780" s="37"/>
    </row>
    <row r="781" spans="1:2" x14ac:dyDescent="0.25">
      <c r="A781" s="35"/>
      <c r="B781" s="37"/>
    </row>
    <row r="782" spans="1:2" x14ac:dyDescent="0.25">
      <c r="A782" s="35"/>
      <c r="B782" s="37"/>
    </row>
    <row r="783" spans="1:2" x14ac:dyDescent="0.25">
      <c r="A783" s="35"/>
      <c r="B783" s="37"/>
    </row>
    <row r="784" spans="1:2" x14ac:dyDescent="0.25">
      <c r="A784" s="35"/>
      <c r="B784" s="37"/>
    </row>
    <row r="785" spans="1:2" x14ac:dyDescent="0.25">
      <c r="A785" s="35"/>
      <c r="B785" s="37"/>
    </row>
    <row r="786" spans="1:2" x14ac:dyDescent="0.25">
      <c r="A786" s="35"/>
      <c r="B786" s="37"/>
    </row>
    <row r="787" spans="1:2" x14ac:dyDescent="0.25">
      <c r="A787" s="35"/>
      <c r="B787" s="37"/>
    </row>
    <row r="788" spans="1:2" x14ac:dyDescent="0.25">
      <c r="A788" s="35"/>
      <c r="B788" s="37"/>
    </row>
    <row r="789" spans="1:2" x14ac:dyDescent="0.25">
      <c r="A789" s="35"/>
      <c r="B789" s="37"/>
    </row>
    <row r="790" spans="1:2" x14ac:dyDescent="0.25">
      <c r="A790" s="35"/>
      <c r="B790" s="37"/>
    </row>
    <row r="791" spans="1:2" x14ac:dyDescent="0.25">
      <c r="A791" s="35"/>
      <c r="B791" s="37"/>
    </row>
    <row r="792" spans="1:2" x14ac:dyDescent="0.25">
      <c r="A792" s="35"/>
      <c r="B792" s="37"/>
    </row>
    <row r="793" spans="1:2" x14ac:dyDescent="0.25">
      <c r="A793" s="35"/>
      <c r="B793" s="37"/>
    </row>
    <row r="794" spans="1:2" x14ac:dyDescent="0.25">
      <c r="A794" s="35"/>
      <c r="B794" s="37"/>
    </row>
    <row r="795" spans="1:2" x14ac:dyDescent="0.25">
      <c r="A795" s="35"/>
      <c r="B795" s="37"/>
    </row>
    <row r="796" spans="1:2" x14ac:dyDescent="0.25">
      <c r="A796" s="35"/>
      <c r="B796" s="37"/>
    </row>
    <row r="797" spans="1:2" x14ac:dyDescent="0.25">
      <c r="A797" s="35"/>
      <c r="B797" s="37"/>
    </row>
    <row r="798" spans="1:2" x14ac:dyDescent="0.25">
      <c r="A798" s="35"/>
      <c r="B798" s="37"/>
    </row>
    <row r="799" spans="1:2" x14ac:dyDescent="0.25">
      <c r="A799" s="35"/>
      <c r="B799" s="37"/>
    </row>
    <row r="800" spans="1:2" x14ac:dyDescent="0.25">
      <c r="A800" s="35"/>
      <c r="B800" s="37"/>
    </row>
    <row r="801" spans="1:2" x14ac:dyDescent="0.25">
      <c r="A801" s="35"/>
      <c r="B801" s="37"/>
    </row>
    <row r="802" spans="1:2" x14ac:dyDescent="0.25">
      <c r="A802" s="35"/>
      <c r="B802" s="37"/>
    </row>
    <row r="803" spans="1:2" x14ac:dyDescent="0.25">
      <c r="A803" s="35"/>
      <c r="B803" s="37"/>
    </row>
    <row r="804" spans="1:2" x14ac:dyDescent="0.25">
      <c r="A804" s="35"/>
      <c r="B804" s="37"/>
    </row>
    <row r="805" spans="1:2" x14ac:dyDescent="0.25">
      <c r="A805" s="35"/>
      <c r="B805" s="37"/>
    </row>
    <row r="806" spans="1:2" x14ac:dyDescent="0.25">
      <c r="A806" s="35"/>
      <c r="B806" s="37"/>
    </row>
    <row r="807" spans="1:2" x14ac:dyDescent="0.25">
      <c r="A807" s="35"/>
      <c r="B807" s="37"/>
    </row>
    <row r="808" spans="1:2" x14ac:dyDescent="0.25">
      <c r="A808" s="35"/>
      <c r="B808" s="37"/>
    </row>
    <row r="809" spans="1:2" x14ac:dyDescent="0.25">
      <c r="A809" s="35"/>
      <c r="B809" s="37"/>
    </row>
    <row r="810" spans="1:2" x14ac:dyDescent="0.25">
      <c r="A810" s="35"/>
      <c r="B810" s="37"/>
    </row>
    <row r="811" spans="1:2" x14ac:dyDescent="0.25">
      <c r="A811" s="35"/>
      <c r="B811" s="37"/>
    </row>
    <row r="812" spans="1:2" x14ac:dyDescent="0.25">
      <c r="A812" s="35"/>
      <c r="B812" s="37"/>
    </row>
    <row r="813" spans="1:2" x14ac:dyDescent="0.25">
      <c r="A813" s="35"/>
      <c r="B813" s="37"/>
    </row>
    <row r="814" spans="1:2" x14ac:dyDescent="0.25">
      <c r="A814" s="35"/>
      <c r="B814" s="37"/>
    </row>
    <row r="815" spans="1:2" x14ac:dyDescent="0.25">
      <c r="A815" s="35"/>
      <c r="B815" s="37"/>
    </row>
    <row r="816" spans="1:2" x14ac:dyDescent="0.25">
      <c r="A816" s="35"/>
      <c r="B816" s="37"/>
    </row>
    <row r="817" spans="1:2" x14ac:dyDescent="0.25">
      <c r="A817" s="35"/>
      <c r="B817" s="37"/>
    </row>
    <row r="818" spans="1:2" x14ac:dyDescent="0.25">
      <c r="A818" s="35"/>
      <c r="B818" s="37"/>
    </row>
    <row r="819" spans="1:2" x14ac:dyDescent="0.25">
      <c r="A819" s="35"/>
      <c r="B819" s="37"/>
    </row>
    <row r="820" spans="1:2" x14ac:dyDescent="0.25">
      <c r="A820" s="35"/>
      <c r="B820" s="37"/>
    </row>
    <row r="821" spans="1:2" x14ac:dyDescent="0.25">
      <c r="A821" s="35"/>
      <c r="B821" s="37"/>
    </row>
    <row r="822" spans="1:2" x14ac:dyDescent="0.25">
      <c r="A822" s="35"/>
      <c r="B822" s="37"/>
    </row>
    <row r="823" spans="1:2" x14ac:dyDescent="0.25">
      <c r="A823" s="35"/>
      <c r="B823" s="37"/>
    </row>
    <row r="824" spans="1:2" x14ac:dyDescent="0.25">
      <c r="A824" s="35"/>
      <c r="B824" s="37"/>
    </row>
    <row r="825" spans="1:2" x14ac:dyDescent="0.25">
      <c r="A825" s="35"/>
      <c r="B825" s="37"/>
    </row>
    <row r="826" spans="1:2" x14ac:dyDescent="0.25">
      <c r="A826" s="35"/>
      <c r="B826" s="37"/>
    </row>
    <row r="827" spans="1:2" x14ac:dyDescent="0.25">
      <c r="A827" s="35"/>
      <c r="B827" s="37"/>
    </row>
    <row r="828" spans="1:2" x14ac:dyDescent="0.25">
      <c r="A828" s="35"/>
      <c r="B828" s="37"/>
    </row>
    <row r="829" spans="1:2" x14ac:dyDescent="0.25">
      <c r="A829" s="35"/>
      <c r="B829" s="37"/>
    </row>
    <row r="830" spans="1:2" x14ac:dyDescent="0.25">
      <c r="A830" s="35"/>
      <c r="B830" s="37"/>
    </row>
    <row r="831" spans="1:2" x14ac:dyDescent="0.25">
      <c r="A831" s="35"/>
      <c r="B831" s="37"/>
    </row>
    <row r="832" spans="1:2" x14ac:dyDescent="0.25">
      <c r="A832" s="35"/>
      <c r="B832" s="37"/>
    </row>
    <row r="833" spans="1:2" x14ac:dyDescent="0.25">
      <c r="A833" s="35"/>
      <c r="B833" s="37"/>
    </row>
    <row r="834" spans="1:2" x14ac:dyDescent="0.25">
      <c r="A834" s="35"/>
      <c r="B834" s="37"/>
    </row>
    <row r="835" spans="1:2" x14ac:dyDescent="0.25">
      <c r="A835" s="35"/>
      <c r="B835" s="37"/>
    </row>
    <row r="836" spans="1:2" x14ac:dyDescent="0.25">
      <c r="A836" s="35"/>
      <c r="B836" s="37"/>
    </row>
    <row r="837" spans="1:2" x14ac:dyDescent="0.25">
      <c r="A837" s="35"/>
      <c r="B837" s="37"/>
    </row>
    <row r="838" spans="1:2" x14ac:dyDescent="0.25">
      <c r="A838" s="35"/>
      <c r="B838" s="37"/>
    </row>
    <row r="839" spans="1:2" x14ac:dyDescent="0.25">
      <c r="A839" s="35"/>
      <c r="B839" s="37"/>
    </row>
    <row r="840" spans="1:2" x14ac:dyDescent="0.25">
      <c r="A840" s="35"/>
      <c r="B840" s="37"/>
    </row>
    <row r="841" spans="1:2" x14ac:dyDescent="0.25">
      <c r="A841" s="35"/>
      <c r="B841" s="37"/>
    </row>
    <row r="842" spans="1:2" x14ac:dyDescent="0.25">
      <c r="A842" s="35"/>
      <c r="B842" s="37"/>
    </row>
    <row r="843" spans="1:2" x14ac:dyDescent="0.25">
      <c r="A843" s="35"/>
      <c r="B843" s="37"/>
    </row>
    <row r="844" spans="1:2" x14ac:dyDescent="0.25">
      <c r="A844" s="35"/>
      <c r="B844" s="37"/>
    </row>
    <row r="845" spans="1:2" x14ac:dyDescent="0.25">
      <c r="A845" s="35"/>
      <c r="B845" s="37"/>
    </row>
    <row r="846" spans="1:2" x14ac:dyDescent="0.25">
      <c r="A846" s="35"/>
      <c r="B846" s="37"/>
    </row>
    <row r="847" spans="1:2" x14ac:dyDescent="0.25">
      <c r="A847" s="35"/>
      <c r="B847" s="37"/>
    </row>
    <row r="848" spans="1:2" x14ac:dyDescent="0.25">
      <c r="A848" s="35"/>
      <c r="B848" s="37"/>
    </row>
    <row r="849" spans="1:2" x14ac:dyDescent="0.25">
      <c r="A849" s="35"/>
      <c r="B849" s="37"/>
    </row>
    <row r="850" spans="1:2" x14ac:dyDescent="0.25">
      <c r="A850" s="35"/>
      <c r="B850" s="37"/>
    </row>
    <row r="851" spans="1:2" x14ac:dyDescent="0.25">
      <c r="A851" s="35"/>
      <c r="B851" s="37"/>
    </row>
    <row r="852" spans="1:2" x14ac:dyDescent="0.25">
      <c r="A852" s="35"/>
      <c r="B852" s="37"/>
    </row>
    <row r="853" spans="1:2" x14ac:dyDescent="0.25">
      <c r="A853" s="35"/>
      <c r="B853" s="37"/>
    </row>
    <row r="854" spans="1:2" x14ac:dyDescent="0.25">
      <c r="A854" s="35"/>
      <c r="B854" s="37"/>
    </row>
    <row r="855" spans="1:2" x14ac:dyDescent="0.25">
      <c r="A855" s="35"/>
      <c r="B855" s="37"/>
    </row>
    <row r="856" spans="1:2" x14ac:dyDescent="0.25">
      <c r="A856" s="35"/>
      <c r="B856" s="37"/>
    </row>
    <row r="857" spans="1:2" x14ac:dyDescent="0.25">
      <c r="A857" s="35"/>
      <c r="B857" s="37"/>
    </row>
    <row r="858" spans="1:2" x14ac:dyDescent="0.25">
      <c r="A858" s="35"/>
      <c r="B858" s="37"/>
    </row>
    <row r="859" spans="1:2" x14ac:dyDescent="0.25">
      <c r="A859" s="35"/>
      <c r="B859" s="37"/>
    </row>
    <row r="860" spans="1:2" x14ac:dyDescent="0.25">
      <c r="A860" s="35"/>
      <c r="B860" s="37"/>
    </row>
    <row r="861" spans="1:2" x14ac:dyDescent="0.25">
      <c r="A861" s="35"/>
      <c r="B861" s="37"/>
    </row>
    <row r="862" spans="1:2" x14ac:dyDescent="0.25">
      <c r="A862" s="35"/>
      <c r="B862" s="37"/>
    </row>
    <row r="863" spans="1:2" x14ac:dyDescent="0.25">
      <c r="A863" s="35"/>
      <c r="B863" s="37"/>
    </row>
    <row r="864" spans="1:2" x14ac:dyDescent="0.25">
      <c r="A864" s="35"/>
      <c r="B864" s="37"/>
    </row>
    <row r="865" spans="1:2" x14ac:dyDescent="0.25">
      <c r="A865" s="35"/>
      <c r="B865" s="37"/>
    </row>
    <row r="866" spans="1:2" x14ac:dyDescent="0.25">
      <c r="A866" s="35"/>
      <c r="B866" s="37"/>
    </row>
    <row r="867" spans="1:2" x14ac:dyDescent="0.25">
      <c r="A867" s="35"/>
      <c r="B867" s="37"/>
    </row>
    <row r="868" spans="1:2" x14ac:dyDescent="0.25">
      <c r="A868" s="35"/>
      <c r="B868" s="37"/>
    </row>
    <row r="869" spans="1:2" x14ac:dyDescent="0.25">
      <c r="A869" s="35"/>
      <c r="B869" s="37"/>
    </row>
    <row r="870" spans="1:2" x14ac:dyDescent="0.25">
      <c r="A870" s="35"/>
      <c r="B870" s="37"/>
    </row>
    <row r="871" spans="1:2" x14ac:dyDescent="0.25">
      <c r="A871" s="35"/>
      <c r="B871" s="37"/>
    </row>
    <row r="872" spans="1:2" x14ac:dyDescent="0.25">
      <c r="A872" s="35"/>
      <c r="B872" s="37"/>
    </row>
    <row r="873" spans="1:2" x14ac:dyDescent="0.25">
      <c r="A873" s="35"/>
      <c r="B873" s="37"/>
    </row>
    <row r="874" spans="1:2" x14ac:dyDescent="0.25">
      <c r="A874" s="35"/>
      <c r="B874" s="37"/>
    </row>
    <row r="875" spans="1:2" x14ac:dyDescent="0.25">
      <c r="A875" s="35"/>
      <c r="B875" s="37"/>
    </row>
    <row r="876" spans="1:2" x14ac:dyDescent="0.25">
      <c r="A876" s="35"/>
      <c r="B876" s="37"/>
    </row>
    <row r="877" spans="1:2" x14ac:dyDescent="0.25">
      <c r="A877" s="35"/>
      <c r="B877" s="37"/>
    </row>
    <row r="878" spans="1:2" x14ac:dyDescent="0.25">
      <c r="A878" s="35"/>
      <c r="B878" s="37"/>
    </row>
    <row r="879" spans="1:2" x14ac:dyDescent="0.25">
      <c r="A879" s="35"/>
      <c r="B879" s="37"/>
    </row>
    <row r="880" spans="1:2" x14ac:dyDescent="0.25">
      <c r="A880" s="35"/>
      <c r="B880" s="37"/>
    </row>
    <row r="881" spans="1:2" x14ac:dyDescent="0.25">
      <c r="A881" s="35"/>
      <c r="B881" s="37"/>
    </row>
    <row r="882" spans="1:2" x14ac:dyDescent="0.25">
      <c r="A882" s="35"/>
      <c r="B882" s="37"/>
    </row>
    <row r="883" spans="1:2" x14ac:dyDescent="0.25">
      <c r="A883" s="35"/>
      <c r="B883" s="37"/>
    </row>
    <row r="884" spans="1:2" x14ac:dyDescent="0.25">
      <c r="A884" s="35"/>
      <c r="B884" s="37"/>
    </row>
    <row r="885" spans="1:2" x14ac:dyDescent="0.25">
      <c r="A885" s="35"/>
      <c r="B885" s="37"/>
    </row>
    <row r="886" spans="1:2" x14ac:dyDescent="0.25">
      <c r="A886" s="35"/>
      <c r="B886" s="37"/>
    </row>
    <row r="887" spans="1:2" x14ac:dyDescent="0.25">
      <c r="A887" s="35"/>
      <c r="B887" s="37"/>
    </row>
    <row r="888" spans="1:2" x14ac:dyDescent="0.25">
      <c r="A888" s="35"/>
      <c r="B888" s="37"/>
    </row>
    <row r="889" spans="1:2" x14ac:dyDescent="0.25">
      <c r="A889" s="35"/>
      <c r="B889" s="37"/>
    </row>
    <row r="890" spans="1:2" x14ac:dyDescent="0.25">
      <c r="A890" s="35"/>
      <c r="B890" s="37"/>
    </row>
    <row r="891" spans="1:2" x14ac:dyDescent="0.25">
      <c r="A891" s="35"/>
      <c r="B891" s="37"/>
    </row>
    <row r="892" spans="1:2" x14ac:dyDescent="0.25">
      <c r="A892" s="35"/>
      <c r="B892" s="37"/>
    </row>
    <row r="893" spans="1:2" x14ac:dyDescent="0.25">
      <c r="A893" s="35"/>
      <c r="B893" s="37"/>
    </row>
    <row r="894" spans="1:2" x14ac:dyDescent="0.25">
      <c r="A894" s="35"/>
      <c r="B894" s="37"/>
    </row>
    <row r="895" spans="1:2" x14ac:dyDescent="0.25">
      <c r="A895" s="35"/>
      <c r="B895" s="37"/>
    </row>
    <row r="896" spans="1:2" x14ac:dyDescent="0.25">
      <c r="A896" s="35"/>
      <c r="B896" s="37"/>
    </row>
    <row r="897" spans="1:2" x14ac:dyDescent="0.25">
      <c r="A897" s="35"/>
      <c r="B897" s="37"/>
    </row>
    <row r="898" spans="1:2" x14ac:dyDescent="0.25">
      <c r="A898" s="35"/>
      <c r="B898" s="37"/>
    </row>
    <row r="899" spans="1:2" x14ac:dyDescent="0.25">
      <c r="A899" s="35"/>
      <c r="B899" s="37"/>
    </row>
    <row r="900" spans="1:2" x14ac:dyDescent="0.25">
      <c r="A900" s="35"/>
      <c r="B900" s="37"/>
    </row>
    <row r="901" spans="1:2" x14ac:dyDescent="0.25">
      <c r="A901" s="35"/>
      <c r="B901" s="37"/>
    </row>
    <row r="902" spans="1:2" x14ac:dyDescent="0.25">
      <c r="A902" s="35"/>
      <c r="B902" s="37"/>
    </row>
    <row r="903" spans="1:2" x14ac:dyDescent="0.25">
      <c r="A903" s="35"/>
      <c r="B903" s="37"/>
    </row>
    <row r="904" spans="1:2" x14ac:dyDescent="0.25">
      <c r="A904" s="35"/>
      <c r="B904" s="37"/>
    </row>
    <row r="905" spans="1:2" x14ac:dyDescent="0.25">
      <c r="A905" s="35"/>
      <c r="B905" s="37"/>
    </row>
    <row r="906" spans="1:2" x14ac:dyDescent="0.25">
      <c r="A906" s="35"/>
      <c r="B906" s="37"/>
    </row>
    <row r="907" spans="1:2" x14ac:dyDescent="0.25">
      <c r="A907" s="35"/>
      <c r="B907" s="37"/>
    </row>
    <row r="908" spans="1:2" x14ac:dyDescent="0.25">
      <c r="A908" s="35"/>
      <c r="B908" s="37"/>
    </row>
    <row r="909" spans="1:2" x14ac:dyDescent="0.25">
      <c r="A909" s="35"/>
      <c r="B909" s="37"/>
    </row>
    <row r="910" spans="1:2" x14ac:dyDescent="0.25">
      <c r="A910" s="35"/>
      <c r="B910" s="37"/>
    </row>
    <row r="911" spans="1:2" x14ac:dyDescent="0.25">
      <c r="A911" s="35"/>
      <c r="B911" s="37"/>
    </row>
    <row r="912" spans="1:2" x14ac:dyDescent="0.25">
      <c r="A912" s="35"/>
      <c r="B912" s="37"/>
    </row>
    <row r="913" spans="1:2" x14ac:dyDescent="0.25">
      <c r="A913" s="35"/>
      <c r="B913" s="37"/>
    </row>
    <row r="914" spans="1:2" x14ac:dyDescent="0.25">
      <c r="A914" s="35"/>
      <c r="B914" s="37"/>
    </row>
    <row r="915" spans="1:2" x14ac:dyDescent="0.25">
      <c r="A915" s="35"/>
      <c r="B915" s="37"/>
    </row>
    <row r="916" spans="1:2" x14ac:dyDescent="0.25">
      <c r="A916" s="35"/>
      <c r="B916" s="37"/>
    </row>
    <row r="917" spans="1:2" x14ac:dyDescent="0.25">
      <c r="A917" s="35"/>
      <c r="B917" s="37"/>
    </row>
    <row r="918" spans="1:2" x14ac:dyDescent="0.25">
      <c r="A918" s="35"/>
      <c r="B918" s="37"/>
    </row>
    <row r="919" spans="1:2" x14ac:dyDescent="0.25">
      <c r="A919" s="35"/>
      <c r="B919" s="37"/>
    </row>
    <row r="920" spans="1:2" x14ac:dyDescent="0.25">
      <c r="A920" s="35"/>
      <c r="B920" s="37"/>
    </row>
    <row r="921" spans="1:2" x14ac:dyDescent="0.25">
      <c r="A921" s="35"/>
      <c r="B921" s="37"/>
    </row>
    <row r="922" spans="1:2" x14ac:dyDescent="0.25">
      <c r="A922" s="35"/>
      <c r="B922" s="37"/>
    </row>
    <row r="923" spans="1:2" x14ac:dyDescent="0.25">
      <c r="A923" s="35"/>
      <c r="B923" s="37"/>
    </row>
    <row r="924" spans="1:2" x14ac:dyDescent="0.25">
      <c r="A924" s="35"/>
      <c r="B924" s="37"/>
    </row>
    <row r="925" spans="1:2" x14ac:dyDescent="0.25">
      <c r="A925" s="35"/>
      <c r="B925" s="37"/>
    </row>
    <row r="926" spans="1:2" x14ac:dyDescent="0.25">
      <c r="A926" s="35"/>
      <c r="B926" s="37"/>
    </row>
    <row r="927" spans="1:2" x14ac:dyDescent="0.25">
      <c r="A927" s="35"/>
      <c r="B927" s="37"/>
    </row>
    <row r="928" spans="1:2" x14ac:dyDescent="0.25">
      <c r="A928" s="35"/>
      <c r="B928" s="37"/>
    </row>
    <row r="929" spans="1:2" x14ac:dyDescent="0.25">
      <c r="A929" s="35"/>
      <c r="B929" s="37"/>
    </row>
    <row r="930" spans="1:2" x14ac:dyDescent="0.25">
      <c r="A930" s="35"/>
      <c r="B930" s="37"/>
    </row>
    <row r="931" spans="1:2" x14ac:dyDescent="0.25">
      <c r="A931" s="35"/>
      <c r="B931" s="37"/>
    </row>
    <row r="932" spans="1:2" x14ac:dyDescent="0.25">
      <c r="A932" s="35"/>
      <c r="B932" s="37"/>
    </row>
    <row r="933" spans="1:2" x14ac:dyDescent="0.25">
      <c r="A933" s="35"/>
      <c r="B933" s="37"/>
    </row>
    <row r="934" spans="1:2" x14ac:dyDescent="0.25">
      <c r="A934" s="35"/>
      <c r="B934" s="37"/>
    </row>
    <row r="935" spans="1:2" x14ac:dyDescent="0.25">
      <c r="A935" s="35"/>
      <c r="B935" s="37"/>
    </row>
    <row r="936" spans="1:2" x14ac:dyDescent="0.25">
      <c r="A936" s="35"/>
      <c r="B936" s="37"/>
    </row>
    <row r="937" spans="1:2" x14ac:dyDescent="0.25">
      <c r="A937" s="35"/>
      <c r="B937" s="37"/>
    </row>
    <row r="938" spans="1:2" x14ac:dyDescent="0.25">
      <c r="A938" s="35"/>
      <c r="B938" s="37"/>
    </row>
    <row r="939" spans="1:2" x14ac:dyDescent="0.25">
      <c r="A939" s="35"/>
      <c r="B939" s="37"/>
    </row>
    <row r="940" spans="1:2" x14ac:dyDescent="0.25">
      <c r="A940" s="35"/>
      <c r="B940" s="37"/>
    </row>
    <row r="941" spans="1:2" x14ac:dyDescent="0.25">
      <c r="A941" s="35"/>
      <c r="B941" s="37"/>
    </row>
    <row r="942" spans="1:2" x14ac:dyDescent="0.25">
      <c r="A942" s="37"/>
      <c r="B942" s="37"/>
    </row>
    <row r="943" spans="1:2" x14ac:dyDescent="0.25">
      <c r="A943" s="37"/>
      <c r="B943" s="37"/>
    </row>
    <row r="944" spans="1:2" x14ac:dyDescent="0.25">
      <c r="A944" s="37"/>
      <c r="B944" s="37"/>
    </row>
    <row r="945" spans="1:2" x14ac:dyDescent="0.25">
      <c r="A945" s="37"/>
      <c r="B945" s="37"/>
    </row>
    <row r="946" spans="1:2" x14ac:dyDescent="0.25">
      <c r="A946" s="37"/>
      <c r="B946" s="37"/>
    </row>
    <row r="947" spans="1:2" x14ac:dyDescent="0.25">
      <c r="A947" s="37"/>
      <c r="B947" s="37"/>
    </row>
    <row r="948" spans="1:2" x14ac:dyDescent="0.25">
      <c r="A948" s="37"/>
      <c r="B948" s="37"/>
    </row>
    <row r="949" spans="1:2" x14ac:dyDescent="0.25">
      <c r="A949" s="37"/>
      <c r="B949" s="37"/>
    </row>
    <row r="950" spans="1:2" x14ac:dyDescent="0.25">
      <c r="A950" s="37"/>
      <c r="B950" s="37"/>
    </row>
    <row r="951" spans="1:2" x14ac:dyDescent="0.25">
      <c r="A951" s="37"/>
      <c r="B951" s="37"/>
    </row>
    <row r="952" spans="1:2" x14ac:dyDescent="0.25">
      <c r="A952" s="37"/>
      <c r="B952" s="37"/>
    </row>
    <row r="953" spans="1:2" x14ac:dyDescent="0.25">
      <c r="A953" s="37"/>
      <c r="B953" s="37"/>
    </row>
    <row r="954" spans="1:2" x14ac:dyDescent="0.25">
      <c r="A954" s="37"/>
      <c r="B954" s="37"/>
    </row>
    <row r="955" spans="1:2" x14ac:dyDescent="0.25">
      <c r="A955" s="37"/>
      <c r="B955" s="37"/>
    </row>
    <row r="956" spans="1:2" x14ac:dyDescent="0.25">
      <c r="A956" s="37"/>
      <c r="B956" s="37"/>
    </row>
    <row r="957" spans="1:2" x14ac:dyDescent="0.25">
      <c r="A957" s="37"/>
      <c r="B957" s="37"/>
    </row>
    <row r="958" spans="1:2" x14ac:dyDescent="0.25">
      <c r="A958" s="37"/>
      <c r="B958" s="37"/>
    </row>
    <row r="959" spans="1:2" x14ac:dyDescent="0.25">
      <c r="A959" s="37"/>
      <c r="B959" s="37"/>
    </row>
    <row r="960" spans="1:2" x14ac:dyDescent="0.25">
      <c r="A960" s="37"/>
      <c r="B960" s="37"/>
    </row>
    <row r="961" spans="1:2" x14ac:dyDescent="0.25">
      <c r="A961" s="37"/>
      <c r="B961" s="37"/>
    </row>
    <row r="962" spans="1:2" x14ac:dyDescent="0.25">
      <c r="A962" s="37"/>
      <c r="B962" s="37"/>
    </row>
    <row r="963" spans="1:2" x14ac:dyDescent="0.25">
      <c r="A963" s="37"/>
      <c r="B963" s="37"/>
    </row>
    <row r="964" spans="1:2" x14ac:dyDescent="0.25">
      <c r="A964" s="37"/>
      <c r="B964" s="37"/>
    </row>
    <row r="965" spans="1:2" x14ac:dyDescent="0.25">
      <c r="A965" s="37"/>
      <c r="B965" s="37"/>
    </row>
    <row r="966" spans="1:2" x14ac:dyDescent="0.25">
      <c r="A966" s="37"/>
      <c r="B966" s="37"/>
    </row>
    <row r="967" spans="1:2" x14ac:dyDescent="0.25">
      <c r="A967" s="37"/>
      <c r="B967" s="37"/>
    </row>
    <row r="968" spans="1:2" x14ac:dyDescent="0.25">
      <c r="A968" s="37"/>
      <c r="B968" s="37"/>
    </row>
    <row r="969" spans="1:2" x14ac:dyDescent="0.25">
      <c r="A969" s="37"/>
      <c r="B969" s="37"/>
    </row>
    <row r="970" spans="1:2" x14ac:dyDescent="0.25">
      <c r="A970" s="37"/>
      <c r="B970" s="37"/>
    </row>
    <row r="971" spans="1:2" x14ac:dyDescent="0.25">
      <c r="A971" s="37"/>
      <c r="B971" s="37"/>
    </row>
    <row r="972" spans="1:2" x14ac:dyDescent="0.25">
      <c r="A972" s="37"/>
      <c r="B972" s="37"/>
    </row>
    <row r="973" spans="1:2" x14ac:dyDescent="0.25">
      <c r="A973" s="37"/>
      <c r="B973" s="37"/>
    </row>
    <row r="974" spans="1:2" x14ac:dyDescent="0.25">
      <c r="A974" s="37"/>
      <c r="B974" s="37"/>
    </row>
    <row r="975" spans="1:2" x14ac:dyDescent="0.25">
      <c r="A975" s="37"/>
      <c r="B975" s="37"/>
    </row>
    <row r="976" spans="1:2" x14ac:dyDescent="0.25">
      <c r="A976" s="37"/>
      <c r="B976" s="37"/>
    </row>
    <row r="977" spans="1:2" x14ac:dyDescent="0.25">
      <c r="A977" s="37"/>
      <c r="B977" s="37"/>
    </row>
    <row r="978" spans="1:2" x14ac:dyDescent="0.25">
      <c r="A978" s="37"/>
      <c r="B978" s="37"/>
    </row>
    <row r="979" spans="1:2" x14ac:dyDescent="0.25">
      <c r="A979" s="37"/>
      <c r="B979" s="37"/>
    </row>
    <row r="980" spans="1:2" x14ac:dyDescent="0.25">
      <c r="A980" s="37"/>
      <c r="B980" s="37"/>
    </row>
    <row r="981" spans="1:2" x14ac:dyDescent="0.25">
      <c r="A981" s="37"/>
      <c r="B981" s="37"/>
    </row>
    <row r="982" spans="1:2" x14ac:dyDescent="0.25">
      <c r="A982" s="37"/>
      <c r="B982" s="37"/>
    </row>
    <row r="983" spans="1:2" x14ac:dyDescent="0.25">
      <c r="A983" s="37"/>
      <c r="B983" s="37"/>
    </row>
    <row r="984" spans="1:2" x14ac:dyDescent="0.25">
      <c r="A984" s="37"/>
      <c r="B984" s="37"/>
    </row>
    <row r="985" spans="1:2" x14ac:dyDescent="0.25">
      <c r="A985" s="37"/>
      <c r="B985" s="37"/>
    </row>
    <row r="986" spans="1:2" x14ac:dyDescent="0.25">
      <c r="A986" s="37"/>
      <c r="B986" s="37"/>
    </row>
    <row r="987" spans="1:2" x14ac:dyDescent="0.25">
      <c r="A987" s="37"/>
      <c r="B987" s="37"/>
    </row>
    <row r="988" spans="1:2" x14ac:dyDescent="0.25">
      <c r="A988" s="37"/>
      <c r="B988" s="37"/>
    </row>
    <row r="989" spans="1:2" x14ac:dyDescent="0.25">
      <c r="A989" s="37"/>
      <c r="B989" s="37"/>
    </row>
    <row r="990" spans="1:2" x14ac:dyDescent="0.25">
      <c r="A990" s="37"/>
      <c r="B990" s="37"/>
    </row>
    <row r="991" spans="1:2" x14ac:dyDescent="0.25">
      <c r="A991" s="37"/>
      <c r="B991" s="37"/>
    </row>
    <row r="992" spans="1:2" x14ac:dyDescent="0.25">
      <c r="A992" s="37"/>
      <c r="B992" s="37"/>
    </row>
    <row r="993" spans="1:2" x14ac:dyDescent="0.25">
      <c r="A993" s="37"/>
      <c r="B993" s="37"/>
    </row>
    <row r="994" spans="1:2" x14ac:dyDescent="0.25">
      <c r="A994" s="37"/>
      <c r="B994" s="37"/>
    </row>
    <row r="995" spans="1:2" x14ac:dyDescent="0.25">
      <c r="A995" s="37"/>
      <c r="B995" s="37"/>
    </row>
    <row r="996" spans="1:2" x14ac:dyDescent="0.25">
      <c r="A996" s="37"/>
      <c r="B996" s="37"/>
    </row>
    <row r="997" spans="1:2" x14ac:dyDescent="0.25">
      <c r="A997" s="37"/>
      <c r="B997" s="37"/>
    </row>
    <row r="998" spans="1:2" x14ac:dyDescent="0.25">
      <c r="A998" s="37"/>
      <c r="B998" s="37"/>
    </row>
    <row r="999" spans="1:2" x14ac:dyDescent="0.25">
      <c r="A999" s="37"/>
      <c r="B999" s="37"/>
    </row>
    <row r="1000" spans="1:2" x14ac:dyDescent="0.25">
      <c r="A1000" s="37"/>
      <c r="B1000" s="37"/>
    </row>
    <row r="1001" spans="1:2" x14ac:dyDescent="0.25">
      <c r="A1001" s="37"/>
      <c r="B1001" s="37"/>
    </row>
    <row r="1002" spans="1:2" x14ac:dyDescent="0.25">
      <c r="A1002" s="37"/>
      <c r="B1002" s="37"/>
    </row>
    <row r="1003" spans="1:2" x14ac:dyDescent="0.25">
      <c r="A1003" s="37"/>
      <c r="B1003" s="37"/>
    </row>
    <row r="1004" spans="1:2" x14ac:dyDescent="0.25">
      <c r="A1004" s="37"/>
      <c r="B1004" s="37"/>
    </row>
    <row r="1005" spans="1:2" x14ac:dyDescent="0.25">
      <c r="A1005" s="37"/>
      <c r="B1005" s="37"/>
    </row>
    <row r="1006" spans="1:2" x14ac:dyDescent="0.25">
      <c r="A1006" s="37"/>
      <c r="B1006" s="37"/>
    </row>
    <row r="1007" spans="1:2" x14ac:dyDescent="0.25">
      <c r="A1007" s="37"/>
      <c r="B1007" s="37"/>
    </row>
    <row r="1008" spans="1:2" x14ac:dyDescent="0.25">
      <c r="A1008" s="37"/>
      <c r="B1008" s="37"/>
    </row>
    <row r="1009" spans="1:2" x14ac:dyDescent="0.25">
      <c r="A1009" s="37"/>
      <c r="B1009" s="37"/>
    </row>
    <row r="1010" spans="1:2" x14ac:dyDescent="0.25">
      <c r="A1010" s="37"/>
      <c r="B1010" s="37"/>
    </row>
    <row r="1011" spans="1:2" x14ac:dyDescent="0.25">
      <c r="A1011" s="37"/>
      <c r="B1011" s="37"/>
    </row>
    <row r="1012" spans="1:2" x14ac:dyDescent="0.25">
      <c r="A1012" s="37"/>
      <c r="B1012" s="37"/>
    </row>
    <row r="1013" spans="1:2" x14ac:dyDescent="0.25">
      <c r="A1013" s="37"/>
      <c r="B1013" s="37"/>
    </row>
    <row r="1014" spans="1:2" x14ac:dyDescent="0.25">
      <c r="A1014" s="37"/>
      <c r="B1014" s="37"/>
    </row>
    <row r="1015" spans="1:2" x14ac:dyDescent="0.25">
      <c r="A1015" s="37"/>
      <c r="B1015" s="37"/>
    </row>
    <row r="1016" spans="1:2" x14ac:dyDescent="0.25">
      <c r="A1016" s="37"/>
      <c r="B1016" s="37"/>
    </row>
    <row r="1017" spans="1:2" x14ac:dyDescent="0.25">
      <c r="A1017" s="37"/>
      <c r="B1017" s="37"/>
    </row>
    <row r="1018" spans="1:2" x14ac:dyDescent="0.25">
      <c r="A1018" s="37"/>
      <c r="B1018" s="37"/>
    </row>
    <row r="1019" spans="1:2" x14ac:dyDescent="0.25">
      <c r="A1019" s="37"/>
      <c r="B1019" s="37"/>
    </row>
    <row r="1020" spans="1:2" x14ac:dyDescent="0.25">
      <c r="A1020" s="37"/>
      <c r="B1020" s="37"/>
    </row>
    <row r="1021" spans="1:2" x14ac:dyDescent="0.25">
      <c r="A1021" s="37"/>
      <c r="B1021" s="37"/>
    </row>
    <row r="1022" spans="1:2" x14ac:dyDescent="0.25">
      <c r="A1022" s="37"/>
      <c r="B1022" s="37"/>
    </row>
    <row r="1023" spans="1:2" x14ac:dyDescent="0.25">
      <c r="A1023" s="37"/>
      <c r="B1023" s="37"/>
    </row>
    <row r="1024" spans="1:2" x14ac:dyDescent="0.25">
      <c r="A1024" s="37"/>
      <c r="B1024" s="37"/>
    </row>
    <row r="1025" spans="1:2" x14ac:dyDescent="0.25">
      <c r="A1025" s="37"/>
      <c r="B1025" s="37"/>
    </row>
    <row r="1026" spans="1:2" x14ac:dyDescent="0.25">
      <c r="A1026" s="37"/>
      <c r="B1026" s="37"/>
    </row>
    <row r="1027" spans="1:2" x14ac:dyDescent="0.25">
      <c r="A1027" s="37"/>
      <c r="B1027" s="37"/>
    </row>
    <row r="1028" spans="1:2" x14ac:dyDescent="0.25">
      <c r="A1028" s="37"/>
      <c r="B1028" s="37"/>
    </row>
    <row r="1029" spans="1:2" x14ac:dyDescent="0.25">
      <c r="A1029" s="37"/>
      <c r="B1029" s="37"/>
    </row>
    <row r="1030" spans="1:2" x14ac:dyDescent="0.25">
      <c r="A1030" s="37"/>
      <c r="B1030" s="37"/>
    </row>
    <row r="1031" spans="1:2" x14ac:dyDescent="0.25">
      <c r="A1031" s="37"/>
      <c r="B1031" s="37"/>
    </row>
    <row r="1032" spans="1:2" x14ac:dyDescent="0.25">
      <c r="A1032" s="37"/>
      <c r="B1032" s="37"/>
    </row>
    <row r="1033" spans="1:2" x14ac:dyDescent="0.25">
      <c r="A1033" s="37"/>
      <c r="B1033" s="37"/>
    </row>
    <row r="1034" spans="1:2" x14ac:dyDescent="0.25">
      <c r="A1034" s="37"/>
      <c r="B1034" s="37"/>
    </row>
    <row r="1035" spans="1:2" x14ac:dyDescent="0.25">
      <c r="A1035" s="37"/>
      <c r="B1035" s="37"/>
    </row>
    <row r="1036" spans="1:2" x14ac:dyDescent="0.25">
      <c r="A1036" s="37"/>
      <c r="B1036" s="37"/>
    </row>
    <row r="1037" spans="1:2" x14ac:dyDescent="0.25">
      <c r="A1037" s="37"/>
      <c r="B1037" s="37"/>
    </row>
    <row r="1038" spans="1:2" x14ac:dyDescent="0.25">
      <c r="A1038" s="37"/>
      <c r="B1038" s="37"/>
    </row>
    <row r="1039" spans="1:2" x14ac:dyDescent="0.25">
      <c r="A1039" s="37"/>
      <c r="B1039" s="37"/>
    </row>
    <row r="1040" spans="1:2" x14ac:dyDescent="0.25">
      <c r="A1040" s="37"/>
      <c r="B1040" s="37"/>
    </row>
    <row r="1041" spans="1:2" x14ac:dyDescent="0.25">
      <c r="A1041" s="37"/>
      <c r="B1041" s="37"/>
    </row>
    <row r="1042" spans="1:2" x14ac:dyDescent="0.25">
      <c r="A1042" s="37"/>
      <c r="B1042" s="37"/>
    </row>
    <row r="1043" spans="1:2" x14ac:dyDescent="0.25">
      <c r="A1043" s="37"/>
      <c r="B1043" s="37"/>
    </row>
    <row r="1044" spans="1:2" x14ac:dyDescent="0.25">
      <c r="A1044" s="37"/>
      <c r="B1044" s="37"/>
    </row>
    <row r="1045" spans="1:2" x14ac:dyDescent="0.25">
      <c r="A1045" s="37"/>
      <c r="B1045" s="37"/>
    </row>
    <row r="1046" spans="1:2" x14ac:dyDescent="0.25">
      <c r="A1046" s="37"/>
      <c r="B1046" s="37"/>
    </row>
    <row r="1047" spans="1:2" x14ac:dyDescent="0.25">
      <c r="A1047" s="37"/>
      <c r="B1047" s="37"/>
    </row>
    <row r="1048" spans="1:2" x14ac:dyDescent="0.25">
      <c r="A1048" s="37"/>
      <c r="B1048" s="37"/>
    </row>
    <row r="1049" spans="1:2" x14ac:dyDescent="0.25">
      <c r="A1049" s="37"/>
      <c r="B1049" s="37"/>
    </row>
    <row r="1050" spans="1:2" x14ac:dyDescent="0.25">
      <c r="A1050" s="37"/>
      <c r="B1050" s="37"/>
    </row>
    <row r="1051" spans="1:2" x14ac:dyDescent="0.25">
      <c r="A1051" s="37"/>
      <c r="B1051" s="37"/>
    </row>
    <row r="1052" spans="1:2" x14ac:dyDescent="0.25">
      <c r="A1052" s="37"/>
      <c r="B1052" s="37"/>
    </row>
    <row r="1053" spans="1:2" x14ac:dyDescent="0.25">
      <c r="A1053" s="37"/>
      <c r="B1053" s="37"/>
    </row>
    <row r="1054" spans="1:2" x14ac:dyDescent="0.25">
      <c r="A1054" s="37"/>
      <c r="B1054" s="37"/>
    </row>
    <row r="1055" spans="1:2" x14ac:dyDescent="0.25">
      <c r="A1055" s="37"/>
      <c r="B1055" s="37"/>
    </row>
    <row r="1056" spans="1:2" x14ac:dyDescent="0.25">
      <c r="A1056" s="37"/>
      <c r="B1056" s="37"/>
    </row>
    <row r="1057" spans="1:2" x14ac:dyDescent="0.25">
      <c r="A1057" s="37"/>
      <c r="B1057" s="37"/>
    </row>
    <row r="1058" spans="1:2" x14ac:dyDescent="0.25">
      <c r="A1058" s="37"/>
      <c r="B1058" s="37"/>
    </row>
    <row r="1059" spans="1:2" x14ac:dyDescent="0.25">
      <c r="A1059" s="37"/>
      <c r="B1059" s="37"/>
    </row>
    <row r="1060" spans="1:2" x14ac:dyDescent="0.25">
      <c r="A1060" s="37"/>
      <c r="B1060" s="37"/>
    </row>
    <row r="1061" spans="1:2" x14ac:dyDescent="0.25">
      <c r="A1061" s="37"/>
      <c r="B1061" s="37"/>
    </row>
    <row r="1062" spans="1:2" x14ac:dyDescent="0.25">
      <c r="A1062" s="37"/>
      <c r="B1062" s="37"/>
    </row>
    <row r="1063" spans="1:2" x14ac:dyDescent="0.25">
      <c r="A1063" s="37"/>
      <c r="B1063" s="37"/>
    </row>
    <row r="1064" spans="1:2" x14ac:dyDescent="0.25">
      <c r="A1064" s="37"/>
      <c r="B1064" s="37"/>
    </row>
    <row r="1065" spans="1:2" x14ac:dyDescent="0.25">
      <c r="A1065" s="37"/>
      <c r="B1065" s="37"/>
    </row>
    <row r="1066" spans="1:2" x14ac:dyDescent="0.25">
      <c r="A1066" s="37"/>
      <c r="B1066" s="37"/>
    </row>
    <row r="1067" spans="1:2" x14ac:dyDescent="0.25">
      <c r="A1067" s="37"/>
      <c r="B1067" s="37"/>
    </row>
    <row r="1068" spans="1:2" x14ac:dyDescent="0.25">
      <c r="A1068" s="37"/>
      <c r="B1068" s="37"/>
    </row>
    <row r="1069" spans="1:2" x14ac:dyDescent="0.25">
      <c r="A1069" s="37"/>
      <c r="B1069" s="37"/>
    </row>
    <row r="1070" spans="1:2" x14ac:dyDescent="0.25">
      <c r="A1070" s="37"/>
      <c r="B1070" s="37"/>
    </row>
    <row r="1071" spans="1:2" x14ac:dyDescent="0.25">
      <c r="A1071" s="37"/>
      <c r="B1071" s="37"/>
    </row>
    <row r="1072" spans="1:2" x14ac:dyDescent="0.25">
      <c r="A1072" s="37"/>
      <c r="B1072" s="37"/>
    </row>
    <row r="1073" spans="1:2" x14ac:dyDescent="0.25">
      <c r="A1073" s="37"/>
      <c r="B1073" s="37"/>
    </row>
    <row r="1074" spans="1:2" x14ac:dyDescent="0.25">
      <c r="A1074" s="37"/>
      <c r="B1074" s="37"/>
    </row>
    <row r="1075" spans="1:2" x14ac:dyDescent="0.25">
      <c r="A1075" s="37"/>
      <c r="B1075" s="37"/>
    </row>
    <row r="1076" spans="1:2" x14ac:dyDescent="0.25">
      <c r="A1076" s="37"/>
      <c r="B1076" s="37"/>
    </row>
    <row r="1077" spans="1:2" x14ac:dyDescent="0.25">
      <c r="A1077" s="37"/>
      <c r="B1077" s="37"/>
    </row>
    <row r="1078" spans="1:2" x14ac:dyDescent="0.25">
      <c r="A1078" s="37"/>
      <c r="B1078" s="37"/>
    </row>
    <row r="1079" spans="1:2" x14ac:dyDescent="0.25">
      <c r="A1079" s="37"/>
      <c r="B1079" s="37"/>
    </row>
    <row r="1080" spans="1:2" x14ac:dyDescent="0.25">
      <c r="A1080" s="37"/>
      <c r="B1080" s="37"/>
    </row>
    <row r="1081" spans="1:2" x14ac:dyDescent="0.25">
      <c r="A1081" s="37"/>
      <c r="B1081" s="37"/>
    </row>
    <row r="1082" spans="1:2" x14ac:dyDescent="0.25">
      <c r="A1082" s="37"/>
      <c r="B1082" s="37"/>
    </row>
    <row r="1083" spans="1:2" x14ac:dyDescent="0.25">
      <c r="A1083" s="37"/>
      <c r="B1083" s="37"/>
    </row>
    <row r="1084" spans="1:2" x14ac:dyDescent="0.25">
      <c r="A1084" s="37"/>
      <c r="B1084" s="37"/>
    </row>
    <row r="1085" spans="1:2" x14ac:dyDescent="0.25">
      <c r="A1085" s="37"/>
      <c r="B1085" s="37"/>
    </row>
    <row r="1086" spans="1:2" x14ac:dyDescent="0.25">
      <c r="A1086" s="37"/>
      <c r="B1086" s="37"/>
    </row>
    <row r="1087" spans="1:2" x14ac:dyDescent="0.25">
      <c r="A1087" s="37"/>
      <c r="B1087" s="37"/>
    </row>
    <row r="1088" spans="1:2" x14ac:dyDescent="0.25">
      <c r="A1088" s="37"/>
      <c r="B1088" s="37"/>
    </row>
    <row r="1089" spans="1:2" x14ac:dyDescent="0.25">
      <c r="A1089" s="37"/>
      <c r="B1089" s="37"/>
    </row>
    <row r="1090" spans="1:2" x14ac:dyDescent="0.25">
      <c r="A1090" s="37"/>
      <c r="B1090" s="37"/>
    </row>
    <row r="1091" spans="1:2" x14ac:dyDescent="0.25">
      <c r="A1091" s="37"/>
      <c r="B1091" s="37"/>
    </row>
    <row r="1092" spans="1:2" x14ac:dyDescent="0.25">
      <c r="A1092" s="37"/>
      <c r="B1092" s="37"/>
    </row>
    <row r="1093" spans="1:2" x14ac:dyDescent="0.25">
      <c r="A1093" s="37"/>
      <c r="B1093" s="37"/>
    </row>
    <row r="1094" spans="1:2" x14ac:dyDescent="0.25">
      <c r="A1094" s="37"/>
      <c r="B1094" s="37"/>
    </row>
    <row r="1095" spans="1:2" x14ac:dyDescent="0.25">
      <c r="A1095" s="37"/>
      <c r="B1095" s="37"/>
    </row>
    <row r="1096" spans="1:2" x14ac:dyDescent="0.25">
      <c r="A1096" s="37"/>
      <c r="B1096" s="37"/>
    </row>
    <row r="1097" spans="1:2" x14ac:dyDescent="0.25">
      <c r="A1097" s="37"/>
      <c r="B1097" s="37"/>
    </row>
    <row r="1098" spans="1:2" x14ac:dyDescent="0.25">
      <c r="A1098" s="37"/>
      <c r="B1098" s="37"/>
    </row>
    <row r="1099" spans="1:2" x14ac:dyDescent="0.25">
      <c r="A1099" s="37"/>
      <c r="B1099" s="37"/>
    </row>
    <row r="1100" spans="1:2" x14ac:dyDescent="0.25">
      <c r="A1100" s="37"/>
      <c r="B1100" s="37"/>
    </row>
    <row r="1101" spans="1:2" x14ac:dyDescent="0.25">
      <c r="A1101" s="37"/>
      <c r="B1101" s="37"/>
    </row>
    <row r="1102" spans="1:2" x14ac:dyDescent="0.25">
      <c r="A1102" s="37"/>
      <c r="B1102" s="37"/>
    </row>
    <row r="1103" spans="1:2" x14ac:dyDescent="0.25">
      <c r="A1103" s="37"/>
      <c r="B1103" s="37"/>
    </row>
    <row r="1104" spans="1:2" x14ac:dyDescent="0.25">
      <c r="A1104" s="37"/>
      <c r="B1104" s="37"/>
    </row>
    <row r="1105" spans="1:2" x14ac:dyDescent="0.25">
      <c r="A1105" s="37"/>
      <c r="B1105" s="37"/>
    </row>
    <row r="1106" spans="1:2" x14ac:dyDescent="0.25">
      <c r="A1106" s="37"/>
      <c r="B1106" s="37"/>
    </row>
    <row r="1107" spans="1:2" x14ac:dyDescent="0.25">
      <c r="A1107" s="37"/>
      <c r="B1107" s="37"/>
    </row>
    <row r="1108" spans="1:2" x14ac:dyDescent="0.25">
      <c r="A1108" s="37"/>
      <c r="B1108" s="37"/>
    </row>
    <row r="1109" spans="1:2" x14ac:dyDescent="0.25">
      <c r="A1109" s="37"/>
      <c r="B1109" s="37"/>
    </row>
    <row r="1110" spans="1:2" x14ac:dyDescent="0.25">
      <c r="A1110" s="37"/>
      <c r="B1110" s="37"/>
    </row>
    <row r="1111" spans="1:2" x14ac:dyDescent="0.25">
      <c r="A1111" s="37"/>
      <c r="B1111" s="37"/>
    </row>
    <row r="1112" spans="1:2" x14ac:dyDescent="0.25">
      <c r="A1112" s="37"/>
      <c r="B1112" s="37"/>
    </row>
    <row r="1113" spans="1:2" x14ac:dyDescent="0.25">
      <c r="A1113" s="37"/>
      <c r="B1113" s="37"/>
    </row>
    <row r="1114" spans="1:2" x14ac:dyDescent="0.25">
      <c r="A1114" s="37"/>
      <c r="B1114" s="37"/>
    </row>
    <row r="1115" spans="1:2" x14ac:dyDescent="0.25">
      <c r="A1115" s="37"/>
      <c r="B1115" s="37"/>
    </row>
    <row r="1116" spans="1:2" x14ac:dyDescent="0.25">
      <c r="A1116" s="37"/>
      <c r="B1116" s="37"/>
    </row>
    <row r="1117" spans="1:2" x14ac:dyDescent="0.25">
      <c r="A1117" s="37"/>
      <c r="B1117" s="37"/>
    </row>
    <row r="1118" spans="1:2" x14ac:dyDescent="0.25">
      <c r="A1118" s="37"/>
      <c r="B1118" s="37"/>
    </row>
    <row r="1119" spans="1:2" x14ac:dyDescent="0.25">
      <c r="A1119" s="37"/>
      <c r="B1119" s="37"/>
    </row>
    <row r="1120" spans="1:2" x14ac:dyDescent="0.25">
      <c r="A1120" s="37"/>
      <c r="B1120" s="37"/>
    </row>
    <row r="1121" spans="1:2" x14ac:dyDescent="0.25">
      <c r="A1121" s="37"/>
      <c r="B1121" s="37"/>
    </row>
    <row r="1122" spans="1:2" x14ac:dyDescent="0.25">
      <c r="A1122" s="37"/>
      <c r="B1122" s="37"/>
    </row>
    <row r="1123" spans="1:2" x14ac:dyDescent="0.25">
      <c r="A1123" s="37"/>
      <c r="B1123" s="37"/>
    </row>
    <row r="1124" spans="1:2" x14ac:dyDescent="0.25">
      <c r="A1124" s="37"/>
      <c r="B1124" s="37"/>
    </row>
    <row r="1125" spans="1:2" x14ac:dyDescent="0.25">
      <c r="A1125" s="37"/>
      <c r="B1125" s="37"/>
    </row>
    <row r="1126" spans="1:2" x14ac:dyDescent="0.25">
      <c r="A1126" s="37"/>
      <c r="B1126" s="37"/>
    </row>
    <row r="1127" spans="1:2" x14ac:dyDescent="0.25">
      <c r="A1127" s="37"/>
      <c r="B1127" s="37"/>
    </row>
    <row r="1128" spans="1:2" x14ac:dyDescent="0.25">
      <c r="A1128" s="37"/>
      <c r="B1128" s="37"/>
    </row>
    <row r="1129" spans="1:2" x14ac:dyDescent="0.25">
      <c r="A1129" s="37"/>
      <c r="B1129" s="37"/>
    </row>
    <row r="1130" spans="1:2" x14ac:dyDescent="0.25">
      <c r="A1130" s="37"/>
      <c r="B1130" s="37"/>
    </row>
    <row r="1131" spans="1:2" x14ac:dyDescent="0.25">
      <c r="A1131" s="37"/>
      <c r="B1131" s="37"/>
    </row>
    <row r="1132" spans="1:2" x14ac:dyDescent="0.25">
      <c r="A1132" s="37"/>
      <c r="B1132" s="37"/>
    </row>
    <row r="1133" spans="1:2" x14ac:dyDescent="0.25">
      <c r="A1133" s="37"/>
      <c r="B1133" s="37"/>
    </row>
    <row r="1134" spans="1:2" x14ac:dyDescent="0.25">
      <c r="A1134" s="37"/>
      <c r="B1134" s="37"/>
    </row>
    <row r="1135" spans="1:2" x14ac:dyDescent="0.25">
      <c r="A1135" s="37"/>
      <c r="B1135" s="37"/>
    </row>
    <row r="1136" spans="1:2" x14ac:dyDescent="0.25">
      <c r="A1136" s="37"/>
      <c r="B1136" s="37"/>
    </row>
    <row r="1137" spans="1:2" x14ac:dyDescent="0.25">
      <c r="A1137" s="37"/>
      <c r="B1137" s="37"/>
    </row>
    <row r="1138" spans="1:2" x14ac:dyDescent="0.25">
      <c r="A1138" s="37"/>
      <c r="B1138" s="37"/>
    </row>
    <row r="1139" spans="1:2" x14ac:dyDescent="0.25">
      <c r="A1139" s="37"/>
      <c r="B1139" s="37"/>
    </row>
    <row r="1140" spans="1:2" x14ac:dyDescent="0.25">
      <c r="A1140" s="37"/>
      <c r="B1140" s="37"/>
    </row>
    <row r="1141" spans="1:2" x14ac:dyDescent="0.25">
      <c r="A1141" s="37"/>
      <c r="B1141" s="37"/>
    </row>
    <row r="1142" spans="1:2" x14ac:dyDescent="0.25">
      <c r="A1142" s="37"/>
      <c r="B1142" s="37"/>
    </row>
    <row r="1143" spans="1:2" x14ac:dyDescent="0.25">
      <c r="A1143" s="37"/>
      <c r="B1143" s="37"/>
    </row>
    <row r="1144" spans="1:2" x14ac:dyDescent="0.25">
      <c r="A1144" s="37"/>
      <c r="B1144" s="37"/>
    </row>
    <row r="1145" spans="1:2" x14ac:dyDescent="0.25">
      <c r="A1145" s="37"/>
      <c r="B1145" s="37"/>
    </row>
    <row r="1146" spans="1:2" x14ac:dyDescent="0.25">
      <c r="A1146" s="37"/>
      <c r="B1146" s="37"/>
    </row>
    <row r="1147" spans="1:2" x14ac:dyDescent="0.25">
      <c r="A1147" s="37"/>
      <c r="B1147" s="37"/>
    </row>
    <row r="1148" spans="1:2" x14ac:dyDescent="0.25">
      <c r="A1148" s="37"/>
      <c r="B1148" s="37"/>
    </row>
    <row r="1149" spans="1:2" x14ac:dyDescent="0.25">
      <c r="A1149" s="37"/>
      <c r="B1149" s="37"/>
    </row>
    <row r="1150" spans="1:2" x14ac:dyDescent="0.25">
      <c r="A1150" s="37"/>
      <c r="B1150" s="37"/>
    </row>
    <row r="1151" spans="1:2" x14ac:dyDescent="0.25">
      <c r="A1151" s="37"/>
      <c r="B1151" s="37"/>
    </row>
    <row r="1152" spans="1:2" x14ac:dyDescent="0.25">
      <c r="A1152" s="37"/>
      <c r="B1152" s="37"/>
    </row>
    <row r="1153" spans="1:2" x14ac:dyDescent="0.25">
      <c r="A1153" s="37"/>
      <c r="B1153" s="37"/>
    </row>
    <row r="1154" spans="1:2" x14ac:dyDescent="0.25">
      <c r="A1154" s="37"/>
      <c r="B1154" s="37"/>
    </row>
    <row r="1155" spans="1:2" x14ac:dyDescent="0.25">
      <c r="A1155" s="37"/>
      <c r="B1155" s="37"/>
    </row>
    <row r="1156" spans="1:2" x14ac:dyDescent="0.25">
      <c r="A1156" s="37"/>
      <c r="B1156" s="37"/>
    </row>
    <row r="1157" spans="1:2" x14ac:dyDescent="0.25">
      <c r="A1157" s="37"/>
      <c r="B1157" s="37"/>
    </row>
    <row r="1158" spans="1:2" x14ac:dyDescent="0.25">
      <c r="A1158" s="37"/>
      <c r="B1158" s="37"/>
    </row>
    <row r="1159" spans="1:2" x14ac:dyDescent="0.25">
      <c r="A1159" s="37"/>
      <c r="B1159" s="37"/>
    </row>
    <row r="1160" spans="1:2" x14ac:dyDescent="0.25">
      <c r="A1160" s="37"/>
      <c r="B1160" s="37"/>
    </row>
    <row r="1161" spans="1:2" x14ac:dyDescent="0.25">
      <c r="A1161" s="37"/>
      <c r="B1161" s="37"/>
    </row>
    <row r="1162" spans="1:2" x14ac:dyDescent="0.25">
      <c r="A1162" s="37"/>
      <c r="B1162" s="37"/>
    </row>
    <row r="1163" spans="1:2" x14ac:dyDescent="0.25">
      <c r="A1163" s="37"/>
      <c r="B1163" s="37"/>
    </row>
    <row r="1164" spans="1:2" x14ac:dyDescent="0.25">
      <c r="A1164" s="37"/>
      <c r="B1164" s="37"/>
    </row>
    <row r="1165" spans="1:2" x14ac:dyDescent="0.25">
      <c r="A1165" s="37"/>
      <c r="B1165" s="37"/>
    </row>
    <row r="1166" spans="1:2" x14ac:dyDescent="0.25">
      <c r="A1166" s="37"/>
      <c r="B1166" s="37"/>
    </row>
    <row r="1167" spans="1:2" x14ac:dyDescent="0.25">
      <c r="A1167" s="37"/>
      <c r="B1167" s="37"/>
    </row>
    <row r="1168" spans="1:2" x14ac:dyDescent="0.25">
      <c r="A1168" s="37"/>
      <c r="B1168" s="37"/>
    </row>
    <row r="1169" spans="1:2" x14ac:dyDescent="0.25">
      <c r="A1169" s="37"/>
      <c r="B1169" s="37"/>
    </row>
    <row r="1170" spans="1:2" x14ac:dyDescent="0.25">
      <c r="A1170" s="37"/>
      <c r="B1170" s="37"/>
    </row>
    <row r="1171" spans="1:2" x14ac:dyDescent="0.25">
      <c r="A1171" s="37"/>
      <c r="B1171" s="37"/>
    </row>
    <row r="1172" spans="1:2" x14ac:dyDescent="0.25">
      <c r="A1172" s="37"/>
      <c r="B1172" s="37"/>
    </row>
    <row r="1173" spans="1:2" x14ac:dyDescent="0.25">
      <c r="A1173" s="37"/>
      <c r="B1173" s="37"/>
    </row>
    <row r="1174" spans="1:2" x14ac:dyDescent="0.25">
      <c r="A1174" s="37"/>
      <c r="B1174" s="37"/>
    </row>
    <row r="1175" spans="1:2" x14ac:dyDescent="0.25">
      <c r="A1175" s="37"/>
      <c r="B1175" s="37"/>
    </row>
    <row r="1176" spans="1:2" x14ac:dyDescent="0.25">
      <c r="A1176" s="37"/>
      <c r="B1176" s="37"/>
    </row>
    <row r="1177" spans="1:2" x14ac:dyDescent="0.25">
      <c r="A1177" s="37"/>
      <c r="B1177" s="37"/>
    </row>
    <row r="1178" spans="1:2" x14ac:dyDescent="0.25">
      <c r="A1178" s="37"/>
      <c r="B1178" s="37"/>
    </row>
    <row r="1179" spans="1:2" x14ac:dyDescent="0.25">
      <c r="A1179" s="37"/>
      <c r="B1179" s="37"/>
    </row>
    <row r="1180" spans="1:2" x14ac:dyDescent="0.25">
      <c r="A1180" s="37"/>
      <c r="B1180" s="37"/>
    </row>
    <row r="1181" spans="1:2" x14ac:dyDescent="0.25">
      <c r="A1181" s="37"/>
      <c r="B1181" s="37"/>
    </row>
    <row r="1182" spans="1:2" x14ac:dyDescent="0.25">
      <c r="A1182" s="37"/>
      <c r="B1182" s="37"/>
    </row>
    <row r="1183" spans="1:2" x14ac:dyDescent="0.25">
      <c r="A1183" s="37"/>
      <c r="B1183" s="37"/>
    </row>
    <row r="1184" spans="1:2" x14ac:dyDescent="0.25">
      <c r="A1184" s="37"/>
      <c r="B1184" s="37"/>
    </row>
    <row r="1185" spans="1:2" x14ac:dyDescent="0.25">
      <c r="A1185" s="37"/>
      <c r="B1185" s="37"/>
    </row>
    <row r="1186" spans="1:2" x14ac:dyDescent="0.25">
      <c r="A1186" s="37"/>
      <c r="B1186" s="37"/>
    </row>
    <row r="1187" spans="1:2" x14ac:dyDescent="0.25">
      <c r="A1187" s="37"/>
      <c r="B1187" s="37"/>
    </row>
    <row r="1188" spans="1:2" x14ac:dyDescent="0.25">
      <c r="A1188" s="37"/>
      <c r="B1188" s="37"/>
    </row>
    <row r="1189" spans="1:2" x14ac:dyDescent="0.25">
      <c r="A1189" s="37"/>
      <c r="B1189" s="37"/>
    </row>
    <row r="1190" spans="1:2" x14ac:dyDescent="0.25">
      <c r="A1190" s="37"/>
      <c r="B1190" s="37"/>
    </row>
    <row r="1191" spans="1:2" x14ac:dyDescent="0.25">
      <c r="A1191" s="37"/>
      <c r="B1191" s="37"/>
    </row>
    <row r="1192" spans="1:2" x14ac:dyDescent="0.25">
      <c r="A1192" s="37"/>
      <c r="B1192" s="37"/>
    </row>
    <row r="1193" spans="1:2" x14ac:dyDescent="0.25">
      <c r="A1193" s="37"/>
      <c r="B1193" s="37"/>
    </row>
    <row r="1194" spans="1:2" x14ac:dyDescent="0.25">
      <c r="A1194" s="37"/>
      <c r="B1194" s="37"/>
    </row>
    <row r="1195" spans="1:2" x14ac:dyDescent="0.25">
      <c r="A1195" s="37"/>
      <c r="B1195" s="37"/>
    </row>
    <row r="1196" spans="1:2" x14ac:dyDescent="0.25">
      <c r="A1196" s="37"/>
      <c r="B1196" s="37"/>
    </row>
    <row r="1197" spans="1:2" x14ac:dyDescent="0.25">
      <c r="A1197" s="37"/>
      <c r="B1197" s="37"/>
    </row>
    <row r="1198" spans="1:2" x14ac:dyDescent="0.25">
      <c r="A1198" s="37"/>
      <c r="B1198" s="37"/>
    </row>
    <row r="1199" spans="1:2" x14ac:dyDescent="0.25">
      <c r="A1199" s="37"/>
      <c r="B1199" s="37"/>
    </row>
    <row r="1200" spans="1:2" x14ac:dyDescent="0.25">
      <c r="A1200" s="37"/>
      <c r="B1200" s="37"/>
    </row>
    <row r="1201" spans="1:2" x14ac:dyDescent="0.25">
      <c r="A1201" s="37"/>
      <c r="B1201" s="37"/>
    </row>
    <row r="1202" spans="1:2" x14ac:dyDescent="0.25">
      <c r="A1202" s="37"/>
      <c r="B1202" s="37"/>
    </row>
    <row r="1203" spans="1:2" x14ac:dyDescent="0.25">
      <c r="A1203" s="37"/>
      <c r="B1203" s="37"/>
    </row>
    <row r="1204" spans="1:2" x14ac:dyDescent="0.25">
      <c r="A1204" s="37"/>
      <c r="B1204" s="37"/>
    </row>
    <row r="1205" spans="1:2" x14ac:dyDescent="0.25">
      <c r="A1205" s="37"/>
      <c r="B1205" s="37"/>
    </row>
    <row r="1206" spans="1:2" x14ac:dyDescent="0.25">
      <c r="A1206" s="37"/>
      <c r="B1206" s="37"/>
    </row>
    <row r="1207" spans="1:2" x14ac:dyDescent="0.25">
      <c r="A1207" s="37"/>
      <c r="B1207" s="37"/>
    </row>
    <row r="1208" spans="1:2" x14ac:dyDescent="0.25">
      <c r="A1208" s="37"/>
      <c r="B1208" s="37"/>
    </row>
    <row r="1209" spans="1:2" x14ac:dyDescent="0.25">
      <c r="A1209" s="37"/>
      <c r="B1209" s="37"/>
    </row>
    <row r="1210" spans="1:2" x14ac:dyDescent="0.25">
      <c r="A1210" s="37"/>
      <c r="B1210" s="37"/>
    </row>
    <row r="1211" spans="1:2" x14ac:dyDescent="0.25">
      <c r="A1211" s="37"/>
      <c r="B1211" s="37"/>
    </row>
    <row r="1212" spans="1:2" x14ac:dyDescent="0.25">
      <c r="A1212" s="37"/>
      <c r="B1212" s="37"/>
    </row>
    <row r="1213" spans="1:2" x14ac:dyDescent="0.25">
      <c r="A1213" s="37"/>
      <c r="B1213" s="37"/>
    </row>
    <row r="1214" spans="1:2" x14ac:dyDescent="0.25">
      <c r="A1214" s="37"/>
      <c r="B1214" s="37"/>
    </row>
    <row r="1215" spans="1:2" x14ac:dyDescent="0.25">
      <c r="A1215" s="37"/>
      <c r="B1215" s="37"/>
    </row>
    <row r="1216" spans="1:2" x14ac:dyDescent="0.25">
      <c r="A1216" s="37"/>
      <c r="B1216" s="37"/>
    </row>
    <row r="1217" spans="1:2" x14ac:dyDescent="0.25">
      <c r="A1217" s="37"/>
      <c r="B1217" s="37"/>
    </row>
    <row r="1218" spans="1:2" x14ac:dyDescent="0.25">
      <c r="A1218" s="37"/>
      <c r="B1218" s="37"/>
    </row>
    <row r="1219" spans="1:2" x14ac:dyDescent="0.25">
      <c r="A1219" s="37"/>
      <c r="B1219" s="37"/>
    </row>
    <row r="1220" spans="1:2" x14ac:dyDescent="0.25">
      <c r="A1220" s="37"/>
      <c r="B1220" s="37"/>
    </row>
    <row r="1221" spans="1:2" x14ac:dyDescent="0.25">
      <c r="A1221" s="37"/>
      <c r="B1221" s="37"/>
    </row>
    <row r="1222" spans="1:2" x14ac:dyDescent="0.25">
      <c r="A1222" s="37"/>
      <c r="B1222" s="37"/>
    </row>
    <row r="1223" spans="1:2" x14ac:dyDescent="0.25">
      <c r="A1223" s="37"/>
      <c r="B1223" s="37"/>
    </row>
    <row r="1224" spans="1:2" x14ac:dyDescent="0.25">
      <c r="A1224" s="37"/>
      <c r="B1224" s="37"/>
    </row>
    <row r="1225" spans="1:2" x14ac:dyDescent="0.25">
      <c r="A1225" s="37"/>
      <c r="B1225" s="37"/>
    </row>
    <row r="1226" spans="1:2" x14ac:dyDescent="0.25">
      <c r="A1226" s="37"/>
      <c r="B1226" s="37"/>
    </row>
    <row r="1227" spans="1:2" x14ac:dyDescent="0.25">
      <c r="A1227" s="37"/>
      <c r="B1227" s="37"/>
    </row>
    <row r="1228" spans="1:2" x14ac:dyDescent="0.25">
      <c r="A1228" s="37"/>
      <c r="B1228" s="37"/>
    </row>
    <row r="1229" spans="1:2" x14ac:dyDescent="0.25">
      <c r="A1229" s="37"/>
      <c r="B1229" s="37"/>
    </row>
    <row r="1230" spans="1:2" x14ac:dyDescent="0.25">
      <c r="A1230" s="37"/>
      <c r="B1230" s="37"/>
    </row>
    <row r="1231" spans="1:2" x14ac:dyDescent="0.25">
      <c r="A1231" s="37"/>
      <c r="B1231" s="37"/>
    </row>
    <row r="1232" spans="1:2" x14ac:dyDescent="0.25">
      <c r="A1232" s="37"/>
      <c r="B1232" s="37"/>
    </row>
    <row r="1233" spans="1:2" x14ac:dyDescent="0.25">
      <c r="A1233" s="37"/>
      <c r="B1233" s="37"/>
    </row>
    <row r="1234" spans="1:2" x14ac:dyDescent="0.25">
      <c r="A1234" s="37"/>
      <c r="B1234" s="37"/>
    </row>
    <row r="1235" spans="1:2" x14ac:dyDescent="0.25">
      <c r="A1235" s="37"/>
      <c r="B1235" s="37"/>
    </row>
    <row r="1236" spans="1:2" x14ac:dyDescent="0.25">
      <c r="A1236" s="37"/>
      <c r="B1236" s="37"/>
    </row>
    <row r="1237" spans="1:2" x14ac:dyDescent="0.25">
      <c r="A1237" s="37"/>
      <c r="B1237" s="37"/>
    </row>
    <row r="1238" spans="1:2" x14ac:dyDescent="0.25">
      <c r="A1238" s="37"/>
      <c r="B1238" s="37"/>
    </row>
    <row r="1239" spans="1:2" x14ac:dyDescent="0.25">
      <c r="A1239" s="37"/>
      <c r="B1239" s="37"/>
    </row>
    <row r="1240" spans="1:2" x14ac:dyDescent="0.25">
      <c r="A1240" s="37"/>
      <c r="B1240" s="37"/>
    </row>
    <row r="1241" spans="1:2" x14ac:dyDescent="0.25">
      <c r="A1241" s="37"/>
      <c r="B1241" s="37"/>
    </row>
    <row r="1242" spans="1:2" x14ac:dyDescent="0.25">
      <c r="A1242" s="37"/>
      <c r="B1242" s="37"/>
    </row>
    <row r="1243" spans="1:2" x14ac:dyDescent="0.25">
      <c r="A1243" s="37"/>
      <c r="B1243" s="37"/>
    </row>
    <row r="1244" spans="1:2" x14ac:dyDescent="0.25">
      <c r="A1244" s="37"/>
      <c r="B1244" s="37"/>
    </row>
    <row r="1245" spans="1:2" x14ac:dyDescent="0.25">
      <c r="A1245" s="37"/>
      <c r="B1245" s="37"/>
    </row>
    <row r="1246" spans="1:2" x14ac:dyDescent="0.25">
      <c r="A1246" s="37"/>
      <c r="B1246" s="37"/>
    </row>
    <row r="1247" spans="1:2" x14ac:dyDescent="0.25">
      <c r="A1247" s="37"/>
      <c r="B1247" s="37"/>
    </row>
    <row r="1248" spans="1:2" x14ac:dyDescent="0.25">
      <c r="A1248" s="37"/>
      <c r="B1248" s="37"/>
    </row>
    <row r="1249" spans="1:2" x14ac:dyDescent="0.25">
      <c r="A1249" s="37"/>
      <c r="B1249" s="37"/>
    </row>
    <row r="1250" spans="1:2" x14ac:dyDescent="0.25">
      <c r="A1250" s="37"/>
      <c r="B1250" s="37"/>
    </row>
    <row r="1251" spans="1:2" x14ac:dyDescent="0.25">
      <c r="A1251" s="37"/>
      <c r="B1251" s="37"/>
    </row>
    <row r="1252" spans="1:2" x14ac:dyDescent="0.25">
      <c r="A1252" s="37"/>
      <c r="B1252" s="37"/>
    </row>
    <row r="1253" spans="1:2" x14ac:dyDescent="0.25">
      <c r="A1253" s="37"/>
      <c r="B1253" s="37"/>
    </row>
    <row r="1254" spans="1:2" x14ac:dyDescent="0.25">
      <c r="A1254" s="37"/>
      <c r="B1254" s="37"/>
    </row>
    <row r="1255" spans="1:2" x14ac:dyDescent="0.25">
      <c r="A1255" s="37"/>
      <c r="B1255" s="37"/>
    </row>
    <row r="1256" spans="1:2" x14ac:dyDescent="0.25">
      <c r="A1256" s="37"/>
      <c r="B1256" s="37"/>
    </row>
    <row r="1257" spans="1:2" x14ac:dyDescent="0.25">
      <c r="A1257" s="37"/>
      <c r="B1257" s="37"/>
    </row>
    <row r="1258" spans="1:2" x14ac:dyDescent="0.25">
      <c r="A1258" s="37"/>
      <c r="B1258" s="37"/>
    </row>
    <row r="1259" spans="1:2" x14ac:dyDescent="0.25">
      <c r="A1259" s="37"/>
      <c r="B1259" s="37"/>
    </row>
    <row r="1260" spans="1:2" x14ac:dyDescent="0.25">
      <c r="A1260" s="37"/>
      <c r="B1260" s="37"/>
    </row>
    <row r="1261" spans="1:2" x14ac:dyDescent="0.25">
      <c r="A1261" s="37"/>
      <c r="B1261" s="37"/>
    </row>
    <row r="1262" spans="1:2" x14ac:dyDescent="0.25">
      <c r="A1262" s="37"/>
      <c r="B1262" s="37"/>
    </row>
    <row r="1263" spans="1:2" x14ac:dyDescent="0.25">
      <c r="A1263" s="37"/>
      <c r="B1263" s="37"/>
    </row>
    <row r="1264" spans="1:2" x14ac:dyDescent="0.25">
      <c r="A1264" s="37"/>
      <c r="B1264" s="37"/>
    </row>
    <row r="1265" spans="1:2" x14ac:dyDescent="0.25">
      <c r="A1265" s="37"/>
      <c r="B1265" s="37"/>
    </row>
    <row r="1266" spans="1:2" x14ac:dyDescent="0.25">
      <c r="A1266" s="37"/>
      <c r="B1266" s="37"/>
    </row>
    <row r="1267" spans="1:2" x14ac:dyDescent="0.25">
      <c r="A1267" s="37"/>
      <c r="B1267" s="37"/>
    </row>
    <row r="1268" spans="1:2" x14ac:dyDescent="0.25">
      <c r="A1268" s="37"/>
      <c r="B1268" s="37"/>
    </row>
    <row r="1269" spans="1:2" x14ac:dyDescent="0.25">
      <c r="A1269" s="37"/>
      <c r="B1269" s="37"/>
    </row>
    <row r="1270" spans="1:2" x14ac:dyDescent="0.25">
      <c r="A1270" s="37"/>
      <c r="B1270" s="37"/>
    </row>
    <row r="1271" spans="1:2" x14ac:dyDescent="0.25">
      <c r="A1271" s="37"/>
      <c r="B1271" s="37"/>
    </row>
    <row r="1272" spans="1:2" x14ac:dyDescent="0.25">
      <c r="A1272" s="37"/>
      <c r="B1272" s="37"/>
    </row>
    <row r="1273" spans="1:2" x14ac:dyDescent="0.25">
      <c r="A1273" s="37"/>
      <c r="B1273" s="37"/>
    </row>
    <row r="1274" spans="1:2" x14ac:dyDescent="0.25">
      <c r="A1274" s="37"/>
      <c r="B1274" s="37"/>
    </row>
    <row r="1275" spans="1:2" x14ac:dyDescent="0.25">
      <c r="A1275" s="37"/>
      <c r="B1275" s="37"/>
    </row>
    <row r="1276" spans="1:2" x14ac:dyDescent="0.25">
      <c r="A1276" s="37"/>
      <c r="B1276" s="37"/>
    </row>
    <row r="1277" spans="1:2" x14ac:dyDescent="0.25">
      <c r="A1277" s="37"/>
      <c r="B1277" s="37"/>
    </row>
    <row r="1278" spans="1:2" x14ac:dyDescent="0.25">
      <c r="A1278" s="37"/>
      <c r="B1278" s="37"/>
    </row>
    <row r="1279" spans="1:2" x14ac:dyDescent="0.25">
      <c r="A1279" s="37"/>
      <c r="B1279" s="37"/>
    </row>
    <row r="1280" spans="1:2" x14ac:dyDescent="0.25">
      <c r="A1280" s="37"/>
      <c r="B1280" s="37"/>
    </row>
    <row r="1281" spans="1:2" x14ac:dyDescent="0.25">
      <c r="A1281" s="37"/>
      <c r="B1281" s="37"/>
    </row>
    <row r="1282" spans="1:2" x14ac:dyDescent="0.25">
      <c r="A1282" s="37"/>
      <c r="B1282" s="37"/>
    </row>
    <row r="1283" spans="1:2" x14ac:dyDescent="0.25">
      <c r="A1283" s="37"/>
      <c r="B1283" s="37"/>
    </row>
    <row r="1284" spans="1:2" x14ac:dyDescent="0.25">
      <c r="A1284" s="37"/>
      <c r="B1284" s="37"/>
    </row>
    <row r="1285" spans="1:2" x14ac:dyDescent="0.25">
      <c r="A1285" s="37"/>
      <c r="B1285" s="37"/>
    </row>
    <row r="1286" spans="1:2" x14ac:dyDescent="0.25">
      <c r="A1286" s="37"/>
      <c r="B1286" s="37"/>
    </row>
    <row r="1287" spans="1:2" x14ac:dyDescent="0.25">
      <c r="A1287" s="37"/>
      <c r="B1287" s="37"/>
    </row>
    <row r="1288" spans="1:2" x14ac:dyDescent="0.25">
      <c r="A1288" s="37"/>
      <c r="B1288" s="37"/>
    </row>
    <row r="1289" spans="1:2" x14ac:dyDescent="0.25">
      <c r="A1289" s="37"/>
      <c r="B1289" s="37"/>
    </row>
    <row r="1290" spans="1:2" x14ac:dyDescent="0.25">
      <c r="A1290" s="37"/>
      <c r="B1290" s="37"/>
    </row>
    <row r="1291" spans="1:2" x14ac:dyDescent="0.25">
      <c r="A1291" s="37"/>
      <c r="B1291" s="37"/>
    </row>
    <row r="1292" spans="1:2" x14ac:dyDescent="0.25">
      <c r="A1292" s="37"/>
      <c r="B1292" s="37"/>
    </row>
    <row r="1293" spans="1:2" x14ac:dyDescent="0.25">
      <c r="A1293" s="37"/>
      <c r="B1293" s="37"/>
    </row>
    <row r="1294" spans="1:2" x14ac:dyDescent="0.25">
      <c r="A1294" s="37"/>
      <c r="B1294" s="37"/>
    </row>
    <row r="1295" spans="1:2" x14ac:dyDescent="0.25">
      <c r="A1295" s="37"/>
      <c r="B1295" s="37"/>
    </row>
    <row r="1296" spans="1:2" x14ac:dyDescent="0.25">
      <c r="A1296" s="37"/>
      <c r="B1296" s="37"/>
    </row>
    <row r="1297" spans="1:2" x14ac:dyDescent="0.25">
      <c r="A1297" s="37"/>
      <c r="B1297" s="37"/>
    </row>
    <row r="1298" spans="1:2" x14ac:dyDescent="0.25">
      <c r="A1298" s="37"/>
      <c r="B1298" s="37"/>
    </row>
    <row r="1299" spans="1:2" x14ac:dyDescent="0.25">
      <c r="A1299" s="37"/>
      <c r="B1299" s="37"/>
    </row>
    <row r="1300" spans="1:2" x14ac:dyDescent="0.25">
      <c r="A1300" s="37"/>
      <c r="B1300" s="37"/>
    </row>
    <row r="1301" spans="1:2" x14ac:dyDescent="0.25">
      <c r="A1301" s="37"/>
      <c r="B1301" s="37"/>
    </row>
    <row r="1302" spans="1:2" x14ac:dyDescent="0.25">
      <c r="A1302" s="37"/>
      <c r="B1302" s="37"/>
    </row>
    <row r="1303" spans="1:2" x14ac:dyDescent="0.25">
      <c r="A1303" s="37"/>
      <c r="B1303" s="37"/>
    </row>
    <row r="1304" spans="1:2" x14ac:dyDescent="0.25">
      <c r="A1304" s="37"/>
      <c r="B1304" s="37"/>
    </row>
    <row r="1305" spans="1:2" x14ac:dyDescent="0.25">
      <c r="A1305" s="37"/>
      <c r="B1305" s="37"/>
    </row>
    <row r="1306" spans="1:2" x14ac:dyDescent="0.25">
      <c r="A1306" s="37"/>
      <c r="B1306" s="37"/>
    </row>
    <row r="1307" spans="1:2" x14ac:dyDescent="0.25">
      <c r="A1307" s="37"/>
      <c r="B1307" s="37"/>
    </row>
    <row r="1308" spans="1:2" x14ac:dyDescent="0.25">
      <c r="A1308" s="37"/>
      <c r="B1308" s="37"/>
    </row>
    <row r="1309" spans="1:2" x14ac:dyDescent="0.25">
      <c r="A1309" s="37"/>
      <c r="B1309" s="37"/>
    </row>
    <row r="1310" spans="1:2" x14ac:dyDescent="0.25">
      <c r="A1310" s="37"/>
      <c r="B1310" s="37"/>
    </row>
    <row r="1311" spans="1:2" x14ac:dyDescent="0.25">
      <c r="A1311" s="37"/>
      <c r="B1311" s="37"/>
    </row>
    <row r="1312" spans="1:2" x14ac:dyDescent="0.25">
      <c r="A1312" s="37"/>
      <c r="B1312" s="37"/>
    </row>
    <row r="1313" spans="1:2" x14ac:dyDescent="0.25">
      <c r="A1313" s="37"/>
      <c r="B1313" s="37"/>
    </row>
    <row r="1314" spans="1:2" x14ac:dyDescent="0.25">
      <c r="A1314" s="37"/>
      <c r="B1314" s="37"/>
    </row>
    <row r="1315" spans="1:2" x14ac:dyDescent="0.25">
      <c r="A1315" s="37"/>
      <c r="B1315" s="37"/>
    </row>
    <row r="1316" spans="1:2" x14ac:dyDescent="0.25">
      <c r="A1316" s="37"/>
      <c r="B1316" s="37"/>
    </row>
    <row r="1317" spans="1:2" x14ac:dyDescent="0.25">
      <c r="A1317" s="37"/>
      <c r="B1317" s="37"/>
    </row>
    <row r="1318" spans="1:2" x14ac:dyDescent="0.25">
      <c r="A1318" s="37"/>
      <c r="B1318" s="37"/>
    </row>
    <row r="1319" spans="1:2" x14ac:dyDescent="0.25">
      <c r="A1319" s="37"/>
      <c r="B1319" s="37"/>
    </row>
    <row r="1320" spans="1:2" x14ac:dyDescent="0.25">
      <c r="A1320" s="37"/>
      <c r="B1320" s="37"/>
    </row>
    <row r="1321" spans="1:2" x14ac:dyDescent="0.25">
      <c r="A1321" s="37"/>
      <c r="B1321" s="37"/>
    </row>
    <row r="1322" spans="1:2" x14ac:dyDescent="0.25">
      <c r="A1322" s="37"/>
      <c r="B1322" s="37"/>
    </row>
    <row r="1323" spans="1:2" x14ac:dyDescent="0.25">
      <c r="A1323" s="37"/>
      <c r="B1323" s="37"/>
    </row>
    <row r="1324" spans="1:2" x14ac:dyDescent="0.25">
      <c r="A1324" s="37"/>
      <c r="B1324" s="37"/>
    </row>
    <row r="1325" spans="1:2" x14ac:dyDescent="0.25">
      <c r="A1325" s="37"/>
      <c r="B1325" s="37"/>
    </row>
    <row r="1326" spans="1:2" x14ac:dyDescent="0.25">
      <c r="A1326" s="37"/>
      <c r="B1326" s="37"/>
    </row>
    <row r="1327" spans="1:2" x14ac:dyDescent="0.25">
      <c r="A1327" s="37"/>
      <c r="B1327" s="37"/>
    </row>
    <row r="1328" spans="1:2" x14ac:dyDescent="0.25">
      <c r="A1328" s="37"/>
      <c r="B1328" s="37"/>
    </row>
    <row r="1329" spans="1:2" x14ac:dyDescent="0.25">
      <c r="A1329" s="37"/>
      <c r="B1329" s="37"/>
    </row>
    <row r="1330" spans="1:2" x14ac:dyDescent="0.25">
      <c r="A1330" s="37"/>
      <c r="B1330" s="37"/>
    </row>
    <row r="1331" spans="1:2" x14ac:dyDescent="0.25">
      <c r="A1331" s="37"/>
      <c r="B1331" s="37"/>
    </row>
    <row r="1332" spans="1:2" x14ac:dyDescent="0.25">
      <c r="A1332" s="37"/>
      <c r="B1332" s="37"/>
    </row>
    <row r="1333" spans="1:2" x14ac:dyDescent="0.25">
      <c r="A1333" s="37"/>
      <c r="B1333" s="37"/>
    </row>
    <row r="1334" spans="1:2" x14ac:dyDescent="0.25">
      <c r="A1334" s="37"/>
      <c r="B1334" s="37"/>
    </row>
    <row r="1335" spans="1:2" x14ac:dyDescent="0.25">
      <c r="A1335" s="37"/>
      <c r="B1335" s="37"/>
    </row>
    <row r="1336" spans="1:2" x14ac:dyDescent="0.25">
      <c r="A1336" s="37"/>
      <c r="B1336" s="37"/>
    </row>
    <row r="1337" spans="1:2" x14ac:dyDescent="0.25">
      <c r="A1337" s="37"/>
      <c r="B1337" s="37"/>
    </row>
    <row r="1338" spans="1:2" x14ac:dyDescent="0.25">
      <c r="A1338" s="37"/>
      <c r="B1338" s="37"/>
    </row>
    <row r="1339" spans="1:2" x14ac:dyDescent="0.25">
      <c r="A1339" s="37"/>
      <c r="B1339" s="37"/>
    </row>
    <row r="1340" spans="1:2" x14ac:dyDescent="0.25">
      <c r="A1340" s="37"/>
      <c r="B1340" s="37"/>
    </row>
    <row r="1341" spans="1:2" x14ac:dyDescent="0.25">
      <c r="A1341" s="37"/>
      <c r="B1341" s="37"/>
    </row>
    <row r="1342" spans="1:2" x14ac:dyDescent="0.25">
      <c r="A1342" s="37"/>
      <c r="B1342" s="37"/>
    </row>
    <row r="1343" spans="1:2" x14ac:dyDescent="0.25">
      <c r="A1343" s="37"/>
      <c r="B1343" s="37"/>
    </row>
    <row r="1344" spans="1:2" x14ac:dyDescent="0.25">
      <c r="A1344" s="37"/>
      <c r="B1344" s="37"/>
    </row>
    <row r="1345" spans="1:2" x14ac:dyDescent="0.25">
      <c r="A1345" s="37"/>
      <c r="B1345" s="37"/>
    </row>
    <row r="1346" spans="1:2" x14ac:dyDescent="0.25">
      <c r="A1346" s="37"/>
      <c r="B1346" s="37"/>
    </row>
    <row r="1347" spans="1:2" x14ac:dyDescent="0.25">
      <c r="A1347" s="37"/>
      <c r="B1347" s="37"/>
    </row>
    <row r="1348" spans="1:2" x14ac:dyDescent="0.25">
      <c r="A1348" s="37"/>
      <c r="B1348" s="37"/>
    </row>
    <row r="1349" spans="1:2" x14ac:dyDescent="0.25">
      <c r="A1349" s="37"/>
      <c r="B1349" s="37"/>
    </row>
    <row r="1350" spans="1:2" x14ac:dyDescent="0.25">
      <c r="A1350" s="37"/>
      <c r="B1350" s="37"/>
    </row>
    <row r="1351" spans="1:2" x14ac:dyDescent="0.25">
      <c r="A1351" s="37"/>
      <c r="B1351" s="37"/>
    </row>
    <row r="1352" spans="1:2" x14ac:dyDescent="0.25">
      <c r="A1352" s="37"/>
      <c r="B1352" s="37"/>
    </row>
    <row r="1353" spans="1:2" x14ac:dyDescent="0.25">
      <c r="A1353" s="37"/>
      <c r="B1353" s="37"/>
    </row>
    <row r="1354" spans="1:2" x14ac:dyDescent="0.25">
      <c r="A1354" s="37"/>
      <c r="B1354" s="37"/>
    </row>
    <row r="1355" spans="1:2" x14ac:dyDescent="0.25">
      <c r="A1355" s="37"/>
      <c r="B1355" s="37"/>
    </row>
    <row r="1356" spans="1:2" x14ac:dyDescent="0.25">
      <c r="A1356" s="37"/>
      <c r="B1356" s="37"/>
    </row>
    <row r="1357" spans="1:2" x14ac:dyDescent="0.25">
      <c r="A1357" s="37"/>
      <c r="B1357" s="37"/>
    </row>
    <row r="1358" spans="1:2" x14ac:dyDescent="0.25">
      <c r="A1358" s="37"/>
      <c r="B1358" s="37"/>
    </row>
    <row r="1359" spans="1:2" x14ac:dyDescent="0.25">
      <c r="A1359" s="37"/>
      <c r="B1359" s="37"/>
    </row>
    <row r="1360" spans="1:2" x14ac:dyDescent="0.25">
      <c r="A1360" s="37"/>
      <c r="B1360" s="37"/>
    </row>
    <row r="1361" spans="1:2" x14ac:dyDescent="0.25">
      <c r="A1361" s="37"/>
      <c r="B1361" s="37"/>
    </row>
    <row r="1362" spans="1:2" x14ac:dyDescent="0.25">
      <c r="A1362" s="37"/>
      <c r="B1362" s="37"/>
    </row>
    <row r="1363" spans="1:2" x14ac:dyDescent="0.25">
      <c r="A1363" s="37"/>
      <c r="B1363" s="37"/>
    </row>
    <row r="1364" spans="1:2" x14ac:dyDescent="0.25">
      <c r="A1364" s="37"/>
      <c r="B1364" s="37"/>
    </row>
    <row r="1365" spans="1:2" x14ac:dyDescent="0.25">
      <c r="A1365" s="37"/>
      <c r="B1365" s="37"/>
    </row>
    <row r="1366" spans="1:2" x14ac:dyDescent="0.25">
      <c r="A1366" s="37"/>
      <c r="B1366" s="37"/>
    </row>
    <row r="1367" spans="1:2" x14ac:dyDescent="0.25">
      <c r="A1367" s="37"/>
      <c r="B1367" s="37"/>
    </row>
    <row r="1368" spans="1:2" x14ac:dyDescent="0.25">
      <c r="A1368" s="37"/>
      <c r="B1368" s="37"/>
    </row>
    <row r="1369" spans="1:2" x14ac:dyDescent="0.25">
      <c r="A1369" s="37"/>
      <c r="B1369" s="37"/>
    </row>
    <row r="1370" spans="1:2" x14ac:dyDescent="0.25">
      <c r="A1370" s="37"/>
      <c r="B1370" s="37"/>
    </row>
    <row r="1371" spans="1:2" x14ac:dyDescent="0.25">
      <c r="A1371" s="37"/>
      <c r="B1371" s="37"/>
    </row>
    <row r="1372" spans="1:2" x14ac:dyDescent="0.25">
      <c r="A1372" s="37"/>
      <c r="B1372" s="37"/>
    </row>
    <row r="1373" spans="1:2" x14ac:dyDescent="0.25">
      <c r="A1373" s="37"/>
      <c r="B1373" s="37"/>
    </row>
    <row r="1374" spans="1:2" x14ac:dyDescent="0.25">
      <c r="A1374" s="37"/>
      <c r="B1374" s="37"/>
    </row>
    <row r="1375" spans="1:2" x14ac:dyDescent="0.25">
      <c r="A1375" s="37"/>
      <c r="B1375" s="37"/>
    </row>
    <row r="1376" spans="1:2" x14ac:dyDescent="0.25">
      <c r="A1376" s="37"/>
      <c r="B1376" s="37"/>
    </row>
    <row r="1377" spans="1:2" x14ac:dyDescent="0.25">
      <c r="A1377" s="37"/>
      <c r="B1377" s="37"/>
    </row>
    <row r="1378" spans="1:2" x14ac:dyDescent="0.25">
      <c r="A1378" s="37"/>
      <c r="B1378" s="37"/>
    </row>
    <row r="1379" spans="1:2" x14ac:dyDescent="0.25">
      <c r="A1379" s="37"/>
      <c r="B1379" s="37"/>
    </row>
    <row r="1380" spans="1:2" x14ac:dyDescent="0.25">
      <c r="A1380" s="37"/>
      <c r="B1380" s="37"/>
    </row>
    <row r="1381" spans="1:2" x14ac:dyDescent="0.25">
      <c r="A1381" s="37"/>
      <c r="B1381" s="37"/>
    </row>
    <row r="1382" spans="1:2" x14ac:dyDescent="0.25">
      <c r="A1382" s="37"/>
      <c r="B1382" s="37"/>
    </row>
    <row r="1383" spans="1:2" x14ac:dyDescent="0.25">
      <c r="A1383" s="37"/>
      <c r="B1383" s="37"/>
    </row>
    <row r="1384" spans="1:2" x14ac:dyDescent="0.25">
      <c r="A1384" s="37"/>
      <c r="B1384" s="37"/>
    </row>
    <row r="1385" spans="1:2" x14ac:dyDescent="0.25">
      <c r="A1385" s="37"/>
      <c r="B1385" s="37"/>
    </row>
    <row r="1386" spans="1:2" x14ac:dyDescent="0.25">
      <c r="A1386" s="37"/>
      <c r="B1386" s="37"/>
    </row>
    <row r="1387" spans="1:2" x14ac:dyDescent="0.25">
      <c r="A1387" s="37"/>
      <c r="B1387" s="37"/>
    </row>
    <row r="1388" spans="1:2" x14ac:dyDescent="0.25">
      <c r="A1388" s="37"/>
      <c r="B1388" s="37"/>
    </row>
    <row r="1389" spans="1:2" x14ac:dyDescent="0.25">
      <c r="A1389" s="37"/>
      <c r="B1389" s="37"/>
    </row>
    <row r="1390" spans="1:2" x14ac:dyDescent="0.25">
      <c r="A1390" s="37"/>
      <c r="B1390" s="37"/>
    </row>
    <row r="1391" spans="1:2" x14ac:dyDescent="0.25">
      <c r="A1391" s="37"/>
      <c r="B1391" s="37"/>
    </row>
    <row r="1392" spans="1:2" x14ac:dyDescent="0.25">
      <c r="A1392" s="37"/>
      <c r="B1392" s="37"/>
    </row>
    <row r="1393" spans="1:2" x14ac:dyDescent="0.25">
      <c r="A1393" s="37"/>
      <c r="B1393" s="37"/>
    </row>
    <row r="1394" spans="1:2" x14ac:dyDescent="0.25">
      <c r="A1394" s="37"/>
      <c r="B1394" s="37"/>
    </row>
    <row r="1395" spans="1:2" x14ac:dyDescent="0.25">
      <c r="A1395" s="37"/>
      <c r="B1395" s="37"/>
    </row>
    <row r="1396" spans="1:2" x14ac:dyDescent="0.25">
      <c r="A1396" s="37"/>
      <c r="B1396" s="37"/>
    </row>
    <row r="1397" spans="1:2" x14ac:dyDescent="0.25">
      <c r="A1397" s="37"/>
      <c r="B1397" s="37"/>
    </row>
    <row r="1398" spans="1:2" x14ac:dyDescent="0.25">
      <c r="A1398" s="37"/>
      <c r="B1398" s="37"/>
    </row>
    <row r="1399" spans="1:2" x14ac:dyDescent="0.25">
      <c r="A1399" s="37"/>
      <c r="B1399" s="37"/>
    </row>
    <row r="1400" spans="1:2" x14ac:dyDescent="0.25">
      <c r="A1400" s="37"/>
      <c r="B1400" s="37"/>
    </row>
    <row r="1401" spans="1:2" x14ac:dyDescent="0.25">
      <c r="A1401" s="37"/>
      <c r="B1401" s="37"/>
    </row>
    <row r="1402" spans="1:2" x14ac:dyDescent="0.25">
      <c r="A1402" s="37"/>
      <c r="B1402" s="37"/>
    </row>
    <row r="1403" spans="1:2" x14ac:dyDescent="0.25">
      <c r="A1403" s="37"/>
      <c r="B1403" s="37"/>
    </row>
    <row r="1404" spans="1:2" x14ac:dyDescent="0.25">
      <c r="A1404" s="37"/>
      <c r="B1404" s="37"/>
    </row>
    <row r="1405" spans="1:2" x14ac:dyDescent="0.25">
      <c r="A1405" s="37"/>
      <c r="B1405" s="37"/>
    </row>
    <row r="1406" spans="1:2" x14ac:dyDescent="0.25">
      <c r="A1406" s="37"/>
      <c r="B1406" s="37"/>
    </row>
    <row r="1407" spans="1:2" x14ac:dyDescent="0.25">
      <c r="A1407" s="37"/>
      <c r="B1407" s="37"/>
    </row>
    <row r="1408" spans="1:2" x14ac:dyDescent="0.25">
      <c r="A1408" s="37"/>
      <c r="B1408" s="37"/>
    </row>
    <row r="1409" spans="1:2" x14ac:dyDescent="0.25">
      <c r="A1409" s="37"/>
      <c r="B1409" s="37"/>
    </row>
    <row r="1410" spans="1:2" x14ac:dyDescent="0.25">
      <c r="A1410" s="37"/>
      <c r="B1410" s="37"/>
    </row>
    <row r="1411" spans="1:2" x14ac:dyDescent="0.25">
      <c r="A1411" s="37"/>
      <c r="B1411" s="37"/>
    </row>
    <row r="1412" spans="1:2" x14ac:dyDescent="0.25">
      <c r="A1412" s="37"/>
      <c r="B1412" s="37"/>
    </row>
    <row r="1413" spans="1:2" x14ac:dyDescent="0.25">
      <c r="A1413" s="37"/>
      <c r="B1413" s="37"/>
    </row>
    <row r="1414" spans="1:2" x14ac:dyDescent="0.25">
      <c r="A1414" s="37"/>
      <c r="B1414" s="37"/>
    </row>
    <row r="1415" spans="1:2" x14ac:dyDescent="0.25">
      <c r="A1415" s="37"/>
      <c r="B1415" s="37"/>
    </row>
    <row r="1416" spans="1:2" x14ac:dyDescent="0.25">
      <c r="A1416" s="37"/>
      <c r="B1416" s="37"/>
    </row>
    <row r="1417" spans="1:2" x14ac:dyDescent="0.25">
      <c r="A1417" s="37"/>
      <c r="B1417" s="37"/>
    </row>
    <row r="1418" spans="1:2" x14ac:dyDescent="0.25">
      <c r="A1418" s="37"/>
      <c r="B1418" s="37"/>
    </row>
    <row r="1419" spans="1:2" x14ac:dyDescent="0.25">
      <c r="A1419" s="37"/>
      <c r="B1419" s="37"/>
    </row>
    <row r="1420" spans="1:2" x14ac:dyDescent="0.25">
      <c r="A1420" s="37"/>
      <c r="B1420" s="37"/>
    </row>
    <row r="1421" spans="1:2" x14ac:dyDescent="0.25">
      <c r="A1421" s="37"/>
      <c r="B1421" s="37"/>
    </row>
    <row r="1422" spans="1:2" x14ac:dyDescent="0.25">
      <c r="A1422" s="37"/>
      <c r="B1422" s="37"/>
    </row>
    <row r="1423" spans="1:2" x14ac:dyDescent="0.25">
      <c r="A1423" s="37"/>
      <c r="B1423" s="37"/>
    </row>
    <row r="1424" spans="1:2" x14ac:dyDescent="0.25">
      <c r="A1424" s="37"/>
      <c r="B1424" s="37"/>
    </row>
    <row r="1425" spans="1:2" x14ac:dyDescent="0.25">
      <c r="A1425" s="37"/>
      <c r="B1425" s="37"/>
    </row>
    <row r="1426" spans="1:2" x14ac:dyDescent="0.25">
      <c r="A1426" s="37"/>
      <c r="B1426" s="37"/>
    </row>
    <row r="1427" spans="1:2" x14ac:dyDescent="0.25">
      <c r="A1427" s="37"/>
      <c r="B1427" s="37"/>
    </row>
    <row r="1428" spans="1:2" x14ac:dyDescent="0.25">
      <c r="A1428" s="37"/>
      <c r="B1428" s="37"/>
    </row>
    <row r="1429" spans="1:2" x14ac:dyDescent="0.25">
      <c r="A1429" s="37"/>
      <c r="B1429" s="37"/>
    </row>
    <row r="1430" spans="1:2" x14ac:dyDescent="0.25">
      <c r="A1430" s="37"/>
      <c r="B1430" s="37"/>
    </row>
    <row r="1431" spans="1:2" x14ac:dyDescent="0.25">
      <c r="A1431" s="37"/>
      <c r="B1431" s="37"/>
    </row>
    <row r="1432" spans="1:2" x14ac:dyDescent="0.25">
      <c r="A1432" s="37"/>
      <c r="B1432" s="37"/>
    </row>
    <row r="1433" spans="1:2" x14ac:dyDescent="0.25">
      <c r="A1433" s="37"/>
      <c r="B1433" s="37"/>
    </row>
    <row r="1434" spans="1:2" x14ac:dyDescent="0.25">
      <c r="A1434" s="37"/>
      <c r="B1434" s="37"/>
    </row>
    <row r="1435" spans="1:2" x14ac:dyDescent="0.25">
      <c r="A1435" s="37"/>
      <c r="B1435" s="37"/>
    </row>
    <row r="1436" spans="1:2" x14ac:dyDescent="0.25">
      <c r="A1436" s="37"/>
      <c r="B1436" s="37"/>
    </row>
    <row r="1437" spans="1:2" x14ac:dyDescent="0.25">
      <c r="A1437" s="37"/>
      <c r="B1437" s="37"/>
    </row>
    <row r="1438" spans="1:2" x14ac:dyDescent="0.25">
      <c r="A1438" s="37"/>
      <c r="B1438" s="37"/>
    </row>
    <row r="1439" spans="1:2" x14ac:dyDescent="0.25">
      <c r="A1439" s="37"/>
      <c r="B1439" s="37"/>
    </row>
    <row r="1440" spans="1:2" x14ac:dyDescent="0.25">
      <c r="A1440" s="37"/>
      <c r="B1440" s="37"/>
    </row>
    <row r="1441" spans="1:2" x14ac:dyDescent="0.25">
      <c r="A1441" s="37"/>
      <c r="B1441" s="37"/>
    </row>
    <row r="1442" spans="1:2" x14ac:dyDescent="0.25">
      <c r="A1442" s="37"/>
      <c r="B1442" s="37"/>
    </row>
    <row r="1443" spans="1:2" x14ac:dyDescent="0.25">
      <c r="A1443" s="37"/>
      <c r="B1443" s="37"/>
    </row>
    <row r="1444" spans="1:2" x14ac:dyDescent="0.25">
      <c r="A1444" s="37"/>
      <c r="B1444" s="37"/>
    </row>
    <row r="1445" spans="1:2" x14ac:dyDescent="0.25">
      <c r="A1445" s="37"/>
      <c r="B1445" s="37"/>
    </row>
    <row r="1446" spans="1:2" x14ac:dyDescent="0.25">
      <c r="A1446" s="37"/>
      <c r="B1446" s="37"/>
    </row>
    <row r="1447" spans="1:2" x14ac:dyDescent="0.25">
      <c r="A1447" s="37"/>
      <c r="B1447" s="37"/>
    </row>
    <row r="1448" spans="1:2" x14ac:dyDescent="0.25">
      <c r="A1448" s="37"/>
      <c r="B1448" s="37"/>
    </row>
    <row r="1449" spans="1:2" x14ac:dyDescent="0.25">
      <c r="A1449" s="37"/>
      <c r="B1449" s="37"/>
    </row>
    <row r="1450" spans="1:2" x14ac:dyDescent="0.25">
      <c r="A1450" s="37"/>
      <c r="B1450" s="37"/>
    </row>
    <row r="1451" spans="1:2" x14ac:dyDescent="0.25">
      <c r="A1451" s="37"/>
      <c r="B1451" s="37"/>
    </row>
    <row r="1452" spans="1:2" x14ac:dyDescent="0.25">
      <c r="A1452" s="37"/>
      <c r="B1452" s="37"/>
    </row>
    <row r="1453" spans="1:2" x14ac:dyDescent="0.25">
      <c r="A1453" s="37"/>
      <c r="B1453" s="37"/>
    </row>
    <row r="1454" spans="1:2" x14ac:dyDescent="0.25">
      <c r="A1454" s="37"/>
      <c r="B1454" s="37"/>
    </row>
    <row r="1455" spans="1:2" x14ac:dyDescent="0.25">
      <c r="A1455" s="37"/>
      <c r="B1455" s="37"/>
    </row>
    <row r="1456" spans="1:2" x14ac:dyDescent="0.25">
      <c r="A1456" s="37"/>
      <c r="B1456" s="37"/>
    </row>
    <row r="1457" spans="1:2" x14ac:dyDescent="0.25">
      <c r="A1457" s="37"/>
      <c r="B1457" s="37"/>
    </row>
    <row r="1458" spans="1:2" x14ac:dyDescent="0.25">
      <c r="A1458" s="37"/>
      <c r="B1458" s="37"/>
    </row>
    <row r="1459" spans="1:2" x14ac:dyDescent="0.25">
      <c r="A1459" s="37"/>
      <c r="B1459" s="37"/>
    </row>
    <row r="1460" spans="1:2" x14ac:dyDescent="0.25">
      <c r="A1460" s="37"/>
      <c r="B1460" s="37"/>
    </row>
    <row r="1461" spans="1:2" x14ac:dyDescent="0.25">
      <c r="A1461" s="37"/>
      <c r="B1461" s="37"/>
    </row>
    <row r="1462" spans="1:2" x14ac:dyDescent="0.25">
      <c r="A1462" s="37"/>
      <c r="B1462" s="37"/>
    </row>
    <row r="1463" spans="1:2" x14ac:dyDescent="0.25">
      <c r="A1463" s="37"/>
      <c r="B1463" s="37"/>
    </row>
    <row r="1464" spans="1:2" x14ac:dyDescent="0.25">
      <c r="A1464" s="37"/>
      <c r="B1464" s="37"/>
    </row>
    <row r="1465" spans="1:2" x14ac:dyDescent="0.25">
      <c r="A1465" s="37"/>
      <c r="B1465" s="37"/>
    </row>
    <row r="1466" spans="1:2" x14ac:dyDescent="0.25">
      <c r="A1466" s="37"/>
      <c r="B1466" s="37"/>
    </row>
    <row r="1467" spans="1:2" x14ac:dyDescent="0.25">
      <c r="A1467" s="37"/>
      <c r="B1467" s="37"/>
    </row>
    <row r="1468" spans="1:2" x14ac:dyDescent="0.25">
      <c r="A1468" s="37"/>
      <c r="B1468" s="37"/>
    </row>
    <row r="1469" spans="1:2" x14ac:dyDescent="0.25">
      <c r="A1469" s="37"/>
      <c r="B1469" s="37"/>
    </row>
    <row r="1470" spans="1:2" x14ac:dyDescent="0.25">
      <c r="A1470" s="37"/>
      <c r="B1470" s="37"/>
    </row>
    <row r="1471" spans="1:2" x14ac:dyDescent="0.25">
      <c r="A1471" s="37"/>
      <c r="B1471" s="37"/>
    </row>
    <row r="1472" spans="1:2" x14ac:dyDescent="0.25">
      <c r="A1472" s="37"/>
      <c r="B1472" s="37"/>
    </row>
    <row r="1473" spans="1:2" x14ac:dyDescent="0.25">
      <c r="A1473" s="37"/>
      <c r="B1473" s="37"/>
    </row>
    <row r="1474" spans="1:2" x14ac:dyDescent="0.25">
      <c r="A1474" s="37"/>
      <c r="B1474" s="37"/>
    </row>
    <row r="1475" spans="1:2" x14ac:dyDescent="0.25">
      <c r="A1475" s="37"/>
      <c r="B1475" s="37"/>
    </row>
    <row r="1476" spans="1:2" x14ac:dyDescent="0.25">
      <c r="A1476" s="37"/>
      <c r="B1476" s="37"/>
    </row>
    <row r="1477" spans="1:2" x14ac:dyDescent="0.25">
      <c r="A1477" s="37"/>
      <c r="B1477" s="37"/>
    </row>
    <row r="1478" spans="1:2" x14ac:dyDescent="0.25">
      <c r="A1478" s="37"/>
      <c r="B1478" s="37"/>
    </row>
    <row r="1479" spans="1:2" x14ac:dyDescent="0.25">
      <c r="A1479" s="37"/>
      <c r="B1479" s="37"/>
    </row>
    <row r="1480" spans="1:2" x14ac:dyDescent="0.25">
      <c r="A1480" s="37"/>
      <c r="B1480" s="37"/>
    </row>
    <row r="1481" spans="1:2" x14ac:dyDescent="0.25">
      <c r="A1481" s="37"/>
      <c r="B1481" s="37"/>
    </row>
    <row r="1482" spans="1:2" x14ac:dyDescent="0.25">
      <c r="A1482" s="37"/>
      <c r="B1482" s="37"/>
    </row>
    <row r="1483" spans="1:2" x14ac:dyDescent="0.25">
      <c r="A1483" s="37"/>
      <c r="B1483" s="37"/>
    </row>
    <row r="1484" spans="1:2" x14ac:dyDescent="0.25">
      <c r="A1484" s="37"/>
      <c r="B1484" s="37"/>
    </row>
    <row r="1485" spans="1:2" x14ac:dyDescent="0.25">
      <c r="A1485" s="37"/>
      <c r="B1485" s="37"/>
    </row>
    <row r="1486" spans="1:2" x14ac:dyDescent="0.25">
      <c r="A1486" s="37"/>
      <c r="B1486" s="37"/>
    </row>
    <row r="1487" spans="1:2" x14ac:dyDescent="0.25">
      <c r="A1487" s="37"/>
      <c r="B1487" s="37"/>
    </row>
    <row r="1488" spans="1:2" x14ac:dyDescent="0.25">
      <c r="A1488" s="37"/>
      <c r="B1488" s="37"/>
    </row>
    <row r="1489" spans="1:2" x14ac:dyDescent="0.25">
      <c r="A1489" s="37"/>
      <c r="B1489" s="37"/>
    </row>
    <row r="1490" spans="1:2" x14ac:dyDescent="0.25">
      <c r="A1490" s="37"/>
      <c r="B1490" s="37"/>
    </row>
    <row r="1491" spans="1:2" x14ac:dyDescent="0.25">
      <c r="A1491" s="37"/>
      <c r="B1491" s="37"/>
    </row>
    <row r="1492" spans="1:2" x14ac:dyDescent="0.25">
      <c r="A1492" s="37"/>
      <c r="B1492" s="37"/>
    </row>
    <row r="1493" spans="1:2" x14ac:dyDescent="0.25">
      <c r="A1493" s="37"/>
      <c r="B1493" s="37"/>
    </row>
    <row r="1494" spans="1:2" x14ac:dyDescent="0.25">
      <c r="A1494" s="37"/>
      <c r="B1494" s="37"/>
    </row>
    <row r="1495" spans="1:2" x14ac:dyDescent="0.25">
      <c r="A1495" s="37"/>
      <c r="B1495" s="37"/>
    </row>
    <row r="1496" spans="1:2" x14ac:dyDescent="0.25">
      <c r="A1496" s="37"/>
      <c r="B1496" s="37"/>
    </row>
    <row r="1497" spans="1:2" x14ac:dyDescent="0.25">
      <c r="A1497" s="37"/>
      <c r="B1497" s="37"/>
    </row>
    <row r="1498" spans="1:2" x14ac:dyDescent="0.25">
      <c r="A1498" s="37"/>
      <c r="B1498" s="37"/>
    </row>
    <row r="1499" spans="1:2" x14ac:dyDescent="0.25">
      <c r="A1499" s="37"/>
      <c r="B1499" s="37"/>
    </row>
    <row r="1500" spans="1:2" x14ac:dyDescent="0.25">
      <c r="A1500" s="37"/>
      <c r="B1500" s="37"/>
    </row>
    <row r="1501" spans="1:2" x14ac:dyDescent="0.25">
      <c r="A1501" s="37"/>
      <c r="B1501" s="37"/>
    </row>
    <row r="1502" spans="1:2" x14ac:dyDescent="0.25">
      <c r="A1502" s="37"/>
      <c r="B1502" s="37"/>
    </row>
    <row r="1503" spans="1:2" x14ac:dyDescent="0.25">
      <c r="A1503" s="37"/>
      <c r="B1503" s="37"/>
    </row>
    <row r="1504" spans="1:2" x14ac:dyDescent="0.25">
      <c r="A1504" s="37"/>
      <c r="B1504" s="37"/>
    </row>
    <row r="1505" spans="1:2" x14ac:dyDescent="0.25">
      <c r="A1505" s="37"/>
      <c r="B1505" s="37"/>
    </row>
    <row r="1506" spans="1:2" x14ac:dyDescent="0.25">
      <c r="A1506" s="37"/>
      <c r="B1506" s="37"/>
    </row>
    <row r="1507" spans="1:2" x14ac:dyDescent="0.25">
      <c r="A1507" s="37"/>
      <c r="B1507" s="37"/>
    </row>
    <row r="1508" spans="1:2" x14ac:dyDescent="0.25">
      <c r="A1508" s="37"/>
      <c r="B1508" s="37"/>
    </row>
    <row r="1509" spans="1:2" x14ac:dyDescent="0.25">
      <c r="A1509" s="37"/>
      <c r="B1509" s="37"/>
    </row>
    <row r="1510" spans="1:2" x14ac:dyDescent="0.25">
      <c r="A1510" s="37"/>
      <c r="B1510" s="37"/>
    </row>
    <row r="1511" spans="1:2" x14ac:dyDescent="0.25">
      <c r="A1511" s="37"/>
      <c r="B1511" s="37"/>
    </row>
    <row r="1512" spans="1:2" x14ac:dyDescent="0.25">
      <c r="A1512" s="37"/>
      <c r="B1512" s="37"/>
    </row>
    <row r="1513" spans="1:2" x14ac:dyDescent="0.25">
      <c r="A1513" s="37"/>
      <c r="B1513" s="37"/>
    </row>
    <row r="1514" spans="1:2" x14ac:dyDescent="0.25">
      <c r="A1514" s="37"/>
      <c r="B1514" s="37"/>
    </row>
    <row r="1515" spans="1:2" x14ac:dyDescent="0.25">
      <c r="A1515" s="37"/>
      <c r="B1515" s="37"/>
    </row>
    <row r="1516" spans="1:2" x14ac:dyDescent="0.25">
      <c r="A1516" s="37"/>
      <c r="B1516" s="37"/>
    </row>
    <row r="1517" spans="1:2" x14ac:dyDescent="0.25">
      <c r="A1517" s="37"/>
      <c r="B1517" s="37"/>
    </row>
    <row r="1518" spans="1:2" x14ac:dyDescent="0.25">
      <c r="A1518" s="37"/>
      <c r="B1518" s="37"/>
    </row>
    <row r="1519" spans="1:2" x14ac:dyDescent="0.25">
      <c r="A1519" s="37"/>
      <c r="B1519" s="37"/>
    </row>
    <row r="1520" spans="1:2" x14ac:dyDescent="0.25">
      <c r="A1520" s="37"/>
      <c r="B1520" s="37"/>
    </row>
    <row r="1521" spans="1:2" x14ac:dyDescent="0.25">
      <c r="A1521" s="37"/>
      <c r="B1521" s="37"/>
    </row>
    <row r="1522" spans="1:2" x14ac:dyDescent="0.25">
      <c r="A1522" s="37"/>
      <c r="B1522" s="37"/>
    </row>
    <row r="1523" spans="1:2" x14ac:dyDescent="0.25">
      <c r="A1523" s="37"/>
      <c r="B1523" s="37"/>
    </row>
    <row r="1524" spans="1:2" x14ac:dyDescent="0.25">
      <c r="A1524" s="37"/>
      <c r="B1524" s="37"/>
    </row>
    <row r="1525" spans="1:2" x14ac:dyDescent="0.25">
      <c r="A1525" s="37"/>
      <c r="B1525" s="37"/>
    </row>
    <row r="1526" spans="1:2" x14ac:dyDescent="0.25">
      <c r="A1526" s="37"/>
      <c r="B1526" s="37"/>
    </row>
    <row r="1527" spans="1:2" x14ac:dyDescent="0.25">
      <c r="A1527" s="37"/>
      <c r="B1527" s="37"/>
    </row>
    <row r="1528" spans="1:2" x14ac:dyDescent="0.25">
      <c r="A1528" s="37"/>
      <c r="B1528" s="37"/>
    </row>
    <row r="1529" spans="1:2" x14ac:dyDescent="0.25">
      <c r="A1529" s="37"/>
      <c r="B1529" s="37"/>
    </row>
    <row r="1530" spans="1:2" x14ac:dyDescent="0.25">
      <c r="A1530" s="37"/>
      <c r="B1530" s="37"/>
    </row>
    <row r="1531" spans="1:2" x14ac:dyDescent="0.25">
      <c r="A1531" s="37"/>
      <c r="B1531" s="37"/>
    </row>
    <row r="1532" spans="1:2" x14ac:dyDescent="0.25">
      <c r="A1532" s="37"/>
      <c r="B1532" s="37"/>
    </row>
    <row r="1533" spans="1:2" x14ac:dyDescent="0.25">
      <c r="A1533" s="37"/>
      <c r="B1533" s="37"/>
    </row>
    <row r="1534" spans="1:2" x14ac:dyDescent="0.25">
      <c r="A1534" s="37"/>
      <c r="B1534" s="37"/>
    </row>
    <row r="1535" spans="1:2" x14ac:dyDescent="0.25">
      <c r="A1535" s="37"/>
      <c r="B1535" s="37"/>
    </row>
    <row r="1536" spans="1:2" x14ac:dyDescent="0.25">
      <c r="A1536" s="37"/>
      <c r="B1536" s="37"/>
    </row>
    <row r="1537" spans="1:2" x14ac:dyDescent="0.25">
      <c r="A1537" s="37"/>
      <c r="B1537" s="37"/>
    </row>
    <row r="1538" spans="1:2" x14ac:dyDescent="0.25">
      <c r="A1538" s="37"/>
      <c r="B1538" s="37"/>
    </row>
    <row r="1539" spans="1:2" x14ac:dyDescent="0.25">
      <c r="A1539" s="37"/>
      <c r="B1539" s="37"/>
    </row>
    <row r="1540" spans="1:2" x14ac:dyDescent="0.25">
      <c r="A1540" s="37"/>
      <c r="B1540" s="37"/>
    </row>
    <row r="1541" spans="1:2" x14ac:dyDescent="0.25">
      <c r="A1541" s="37"/>
      <c r="B1541" s="37"/>
    </row>
    <row r="1542" spans="1:2" x14ac:dyDescent="0.25">
      <c r="A1542" s="37"/>
      <c r="B1542" s="37"/>
    </row>
    <row r="1543" spans="1:2" x14ac:dyDescent="0.25">
      <c r="A1543" s="37"/>
      <c r="B1543" s="37"/>
    </row>
    <row r="1544" spans="1:2" x14ac:dyDescent="0.25">
      <c r="A1544" s="37"/>
      <c r="B1544" s="37"/>
    </row>
    <row r="1545" spans="1:2" x14ac:dyDescent="0.25">
      <c r="A1545" s="37"/>
      <c r="B1545" s="37"/>
    </row>
    <row r="1546" spans="1:2" x14ac:dyDescent="0.25">
      <c r="A1546" s="37"/>
      <c r="B1546" s="37"/>
    </row>
    <row r="1547" spans="1:2" x14ac:dyDescent="0.25">
      <c r="A1547" s="37"/>
      <c r="B1547" s="37"/>
    </row>
    <row r="1548" spans="1:2" x14ac:dyDescent="0.25">
      <c r="A1548" s="37"/>
      <c r="B1548" s="37"/>
    </row>
    <row r="1549" spans="1:2" x14ac:dyDescent="0.25">
      <c r="A1549" s="37"/>
      <c r="B1549" s="37"/>
    </row>
    <row r="1550" spans="1:2" x14ac:dyDescent="0.25">
      <c r="A1550" s="37"/>
      <c r="B1550" s="37"/>
    </row>
    <row r="1551" spans="1:2" x14ac:dyDescent="0.25">
      <c r="A1551" s="37"/>
      <c r="B1551" s="37"/>
    </row>
    <row r="1552" spans="1:2" x14ac:dyDescent="0.25">
      <c r="A1552" s="37"/>
      <c r="B1552" s="37"/>
    </row>
    <row r="1553" spans="1:2" x14ac:dyDescent="0.25">
      <c r="A1553" s="37"/>
      <c r="B1553" s="37"/>
    </row>
    <row r="1554" spans="1:2" x14ac:dyDescent="0.25">
      <c r="A1554" s="37"/>
      <c r="B1554" s="37"/>
    </row>
    <row r="1555" spans="1:2" x14ac:dyDescent="0.25">
      <c r="A1555" s="37"/>
      <c r="B1555" s="37"/>
    </row>
    <row r="1556" spans="1:2" x14ac:dyDescent="0.25">
      <c r="A1556" s="37"/>
      <c r="B1556" s="37"/>
    </row>
    <row r="1557" spans="1:2" x14ac:dyDescent="0.25">
      <c r="A1557" s="37"/>
      <c r="B1557" s="37"/>
    </row>
    <row r="1558" spans="1:2" x14ac:dyDescent="0.25">
      <c r="A1558" s="37"/>
      <c r="B1558" s="37"/>
    </row>
    <row r="1559" spans="1:2" x14ac:dyDescent="0.25">
      <c r="A1559" s="37"/>
      <c r="B1559" s="37"/>
    </row>
    <row r="1560" spans="1:2" x14ac:dyDescent="0.25">
      <c r="A1560" s="37"/>
      <c r="B1560" s="37"/>
    </row>
    <row r="1561" spans="1:2" x14ac:dyDescent="0.25">
      <c r="A1561" s="37"/>
      <c r="B1561" s="37"/>
    </row>
    <row r="1562" spans="1:2" x14ac:dyDescent="0.25">
      <c r="A1562" s="37"/>
      <c r="B1562" s="37"/>
    </row>
    <row r="1563" spans="1:2" x14ac:dyDescent="0.25">
      <c r="A1563" s="37"/>
      <c r="B1563" s="37"/>
    </row>
    <row r="1564" spans="1:2" x14ac:dyDescent="0.25">
      <c r="A1564" s="37"/>
      <c r="B1564" s="37"/>
    </row>
    <row r="1565" spans="1:2" x14ac:dyDescent="0.25">
      <c r="A1565" s="37"/>
      <c r="B1565" s="37"/>
    </row>
    <row r="1566" spans="1:2" x14ac:dyDescent="0.25">
      <c r="A1566" s="37"/>
      <c r="B1566" s="37"/>
    </row>
    <row r="1567" spans="1:2" x14ac:dyDescent="0.25">
      <c r="A1567" s="37"/>
      <c r="B1567" s="37"/>
    </row>
    <row r="1568" spans="1:2" x14ac:dyDescent="0.25">
      <c r="A1568" s="37"/>
      <c r="B1568" s="37"/>
    </row>
    <row r="1569" spans="1:2" x14ac:dyDescent="0.25">
      <c r="A1569" s="37"/>
      <c r="B1569" s="37"/>
    </row>
    <row r="1570" spans="1:2" x14ac:dyDescent="0.25">
      <c r="A1570" s="37"/>
      <c r="B1570" s="37"/>
    </row>
    <row r="1571" spans="1:2" x14ac:dyDescent="0.25">
      <c r="A1571" s="37"/>
      <c r="B1571" s="37"/>
    </row>
    <row r="1572" spans="1:2" ht="15" x14ac:dyDescent="0.25">
      <c r="A1572"/>
    </row>
    <row r="1573" spans="1:2" ht="15" x14ac:dyDescent="0.25">
      <c r="A1573"/>
    </row>
    <row r="1574" spans="1:2" ht="15" x14ac:dyDescent="0.25">
      <c r="A1574"/>
    </row>
    <row r="1575" spans="1:2" ht="15" x14ac:dyDescent="0.25">
      <c r="A1575"/>
    </row>
    <row r="1576" spans="1:2" ht="15" x14ac:dyDescent="0.25">
      <c r="A1576"/>
    </row>
    <row r="1577" spans="1:2" ht="15" x14ac:dyDescent="0.25">
      <c r="A1577"/>
    </row>
    <row r="1578" spans="1:2" ht="15" x14ac:dyDescent="0.25">
      <c r="A1578"/>
    </row>
    <row r="1579" spans="1:2" ht="15" x14ac:dyDescent="0.25">
      <c r="A1579"/>
    </row>
    <row r="1580" spans="1:2" ht="15" x14ac:dyDescent="0.25">
      <c r="A1580"/>
    </row>
    <row r="1581" spans="1:2" ht="15" x14ac:dyDescent="0.25">
      <c r="A1581"/>
    </row>
    <row r="1582" spans="1:2" ht="15" x14ac:dyDescent="0.25">
      <c r="A1582"/>
    </row>
    <row r="1583" spans="1:2" ht="15" x14ac:dyDescent="0.25">
      <c r="A1583"/>
    </row>
    <row r="1584" spans="1:2" ht="15" x14ac:dyDescent="0.25">
      <c r="A1584"/>
    </row>
    <row r="1585" spans="1:1" ht="15" x14ac:dyDescent="0.25">
      <c r="A1585"/>
    </row>
    <row r="1586" spans="1:1" ht="15" x14ac:dyDescent="0.25">
      <c r="A1586"/>
    </row>
    <row r="1587" spans="1:1" ht="15" x14ac:dyDescent="0.25">
      <c r="A1587"/>
    </row>
    <row r="1588" spans="1:1" ht="15" x14ac:dyDescent="0.25">
      <c r="A1588"/>
    </row>
    <row r="1589" spans="1:1" ht="15" x14ac:dyDescent="0.25">
      <c r="A1589"/>
    </row>
    <row r="1590" spans="1:1" ht="15" x14ac:dyDescent="0.25">
      <c r="A1590"/>
    </row>
    <row r="1591" spans="1:1" ht="15" x14ac:dyDescent="0.25">
      <c r="A1591"/>
    </row>
    <row r="1592" spans="1:1" ht="15" x14ac:dyDescent="0.25">
      <c r="A1592"/>
    </row>
    <row r="1593" spans="1:1" ht="15" x14ac:dyDescent="0.25">
      <c r="A1593"/>
    </row>
    <row r="1594" spans="1:1" ht="15" x14ac:dyDescent="0.25">
      <c r="A1594"/>
    </row>
    <row r="1595" spans="1:1" ht="15" x14ac:dyDescent="0.25">
      <c r="A1595"/>
    </row>
    <row r="1596" spans="1:1" ht="15" x14ac:dyDescent="0.25">
      <c r="A1596"/>
    </row>
    <row r="1597" spans="1:1" ht="15" x14ac:dyDescent="0.25">
      <c r="A1597"/>
    </row>
    <row r="1598" spans="1:1" ht="15" x14ac:dyDescent="0.25">
      <c r="A1598"/>
    </row>
    <row r="1599" spans="1:1" ht="15" x14ac:dyDescent="0.25">
      <c r="A1599"/>
    </row>
    <row r="1600" spans="1:1" ht="15" x14ac:dyDescent="0.25">
      <c r="A1600"/>
    </row>
    <row r="1601" spans="1:1" ht="15" x14ac:dyDescent="0.25">
      <c r="A1601"/>
    </row>
    <row r="1602" spans="1:1" ht="15" x14ac:dyDescent="0.25">
      <c r="A1602"/>
    </row>
    <row r="1603" spans="1:1" ht="15" x14ac:dyDescent="0.25">
      <c r="A1603"/>
    </row>
    <row r="1604" spans="1:1" ht="15" x14ac:dyDescent="0.25">
      <c r="A1604"/>
    </row>
    <row r="1605" spans="1:1" ht="15" x14ac:dyDescent="0.25">
      <c r="A1605"/>
    </row>
    <row r="1606" spans="1:1" ht="15" x14ac:dyDescent="0.25">
      <c r="A1606"/>
    </row>
    <row r="1607" spans="1:1" ht="15" x14ac:dyDescent="0.25">
      <c r="A1607"/>
    </row>
    <row r="1608" spans="1:1" ht="15" x14ac:dyDescent="0.25">
      <c r="A1608"/>
    </row>
    <row r="1609" spans="1:1" ht="15" x14ac:dyDescent="0.25">
      <c r="A1609"/>
    </row>
    <row r="1610" spans="1:1" ht="15" x14ac:dyDescent="0.25">
      <c r="A1610"/>
    </row>
    <row r="1611" spans="1:1" ht="15" x14ac:dyDescent="0.25">
      <c r="A1611"/>
    </row>
    <row r="1612" spans="1:1" ht="15" x14ac:dyDescent="0.25">
      <c r="A1612"/>
    </row>
    <row r="1613" spans="1:1" ht="15" x14ac:dyDescent="0.25">
      <c r="A1613"/>
    </row>
    <row r="1614" spans="1:1" ht="15" x14ac:dyDescent="0.25">
      <c r="A1614"/>
    </row>
    <row r="1615" spans="1:1" ht="15" x14ac:dyDescent="0.25">
      <c r="A1615"/>
    </row>
    <row r="1616" spans="1:1" ht="15" x14ac:dyDescent="0.25">
      <c r="A1616"/>
    </row>
    <row r="1617" spans="1:1" ht="15" x14ac:dyDescent="0.25">
      <c r="A1617"/>
    </row>
    <row r="1618" spans="1:1" ht="15" x14ac:dyDescent="0.25">
      <c r="A1618"/>
    </row>
    <row r="1619" spans="1:1" ht="15" x14ac:dyDescent="0.25">
      <c r="A1619"/>
    </row>
    <row r="1620" spans="1:1" ht="15" x14ac:dyDescent="0.25">
      <c r="A1620"/>
    </row>
    <row r="1621" spans="1:1" ht="15" x14ac:dyDescent="0.25">
      <c r="A1621"/>
    </row>
    <row r="1622" spans="1:1" ht="15" x14ac:dyDescent="0.25">
      <c r="A1622"/>
    </row>
    <row r="1623" spans="1:1" ht="15" x14ac:dyDescent="0.25">
      <c r="A1623"/>
    </row>
    <row r="1624" spans="1:1" ht="15" x14ac:dyDescent="0.25">
      <c r="A1624"/>
    </row>
    <row r="1625" spans="1:1" ht="15" x14ac:dyDescent="0.25">
      <c r="A1625"/>
    </row>
    <row r="1626" spans="1:1" ht="15" x14ac:dyDescent="0.25">
      <c r="A1626"/>
    </row>
    <row r="1627" spans="1:1" ht="15" x14ac:dyDescent="0.25">
      <c r="A1627"/>
    </row>
    <row r="1628" spans="1:1" ht="15" x14ac:dyDescent="0.25">
      <c r="A1628"/>
    </row>
    <row r="1629" spans="1:1" ht="15" x14ac:dyDescent="0.25">
      <c r="A1629"/>
    </row>
    <row r="1630" spans="1:1" ht="15" x14ac:dyDescent="0.25">
      <c r="A1630"/>
    </row>
    <row r="1631" spans="1:1" ht="15" x14ac:dyDescent="0.25">
      <c r="A1631"/>
    </row>
    <row r="1632" spans="1:1" ht="15" x14ac:dyDescent="0.25">
      <c r="A1632"/>
    </row>
    <row r="1633" spans="1:1" ht="15" x14ac:dyDescent="0.25">
      <c r="A1633"/>
    </row>
    <row r="1634" spans="1:1" ht="15" x14ac:dyDescent="0.25">
      <c r="A1634"/>
    </row>
    <row r="1635" spans="1:1" ht="15" x14ac:dyDescent="0.25">
      <c r="A1635"/>
    </row>
    <row r="1636" spans="1:1" ht="15" x14ac:dyDescent="0.25">
      <c r="A1636"/>
    </row>
    <row r="1637" spans="1:1" ht="15" x14ac:dyDescent="0.25">
      <c r="A1637"/>
    </row>
    <row r="1638" spans="1:1" ht="15" x14ac:dyDescent="0.25">
      <c r="A1638"/>
    </row>
    <row r="1639" spans="1:1" ht="15" x14ac:dyDescent="0.25">
      <c r="A1639"/>
    </row>
    <row r="1640" spans="1:1" ht="15" x14ac:dyDescent="0.25">
      <c r="A1640"/>
    </row>
    <row r="1641" spans="1:1" ht="15" x14ac:dyDescent="0.25">
      <c r="A1641"/>
    </row>
    <row r="1642" spans="1:1" ht="15" x14ac:dyDescent="0.25">
      <c r="A1642"/>
    </row>
    <row r="1643" spans="1:1" ht="15" x14ac:dyDescent="0.25">
      <c r="A1643"/>
    </row>
    <row r="1644" spans="1:1" ht="15" x14ac:dyDescent="0.25">
      <c r="A1644"/>
    </row>
    <row r="1645" spans="1:1" ht="15" x14ac:dyDescent="0.25">
      <c r="A1645"/>
    </row>
    <row r="1646" spans="1:1" ht="15" x14ac:dyDescent="0.25">
      <c r="A1646"/>
    </row>
    <row r="1647" spans="1:1" ht="15" x14ac:dyDescent="0.25">
      <c r="A1647"/>
    </row>
    <row r="1648" spans="1:1" ht="15" x14ac:dyDescent="0.25">
      <c r="A1648"/>
    </row>
    <row r="1649" spans="1:1" ht="15" x14ac:dyDescent="0.25">
      <c r="A1649"/>
    </row>
    <row r="1650" spans="1:1" ht="15" x14ac:dyDescent="0.25">
      <c r="A1650"/>
    </row>
    <row r="1651" spans="1:1" ht="15" x14ac:dyDescent="0.25">
      <c r="A1651"/>
    </row>
    <row r="1652" spans="1:1" ht="15" x14ac:dyDescent="0.25">
      <c r="A1652"/>
    </row>
    <row r="1653" spans="1:1" ht="15" x14ac:dyDescent="0.25">
      <c r="A1653"/>
    </row>
    <row r="1654" spans="1:1" ht="15" x14ac:dyDescent="0.25">
      <c r="A1654"/>
    </row>
    <row r="1655" spans="1:1" ht="15" x14ac:dyDescent="0.25">
      <c r="A1655"/>
    </row>
    <row r="1656" spans="1:1" ht="15" x14ac:dyDescent="0.25">
      <c r="A1656"/>
    </row>
    <row r="1657" spans="1:1" ht="15" x14ac:dyDescent="0.25">
      <c r="A1657"/>
    </row>
    <row r="1658" spans="1:1" ht="15" x14ac:dyDescent="0.25">
      <c r="A1658"/>
    </row>
    <row r="1659" spans="1:1" ht="15" x14ac:dyDescent="0.25">
      <c r="A1659"/>
    </row>
    <row r="1660" spans="1:1" ht="15" x14ac:dyDescent="0.25">
      <c r="A1660"/>
    </row>
    <row r="1661" spans="1:1" ht="15" x14ac:dyDescent="0.25">
      <c r="A1661"/>
    </row>
    <row r="1662" spans="1:1" ht="15" x14ac:dyDescent="0.25">
      <c r="A1662"/>
    </row>
    <row r="1663" spans="1:1" ht="15" x14ac:dyDescent="0.25">
      <c r="A1663"/>
    </row>
    <row r="1664" spans="1:1" ht="15" x14ac:dyDescent="0.25">
      <c r="A1664"/>
    </row>
    <row r="1665" spans="1:1" ht="15" x14ac:dyDescent="0.25">
      <c r="A1665"/>
    </row>
    <row r="1666" spans="1:1" ht="15" x14ac:dyDescent="0.25">
      <c r="A1666"/>
    </row>
    <row r="1667" spans="1:1" ht="15" x14ac:dyDescent="0.25">
      <c r="A1667"/>
    </row>
    <row r="1668" spans="1:1" ht="15" x14ac:dyDescent="0.25">
      <c r="A1668"/>
    </row>
    <row r="1669" spans="1:1" ht="15" x14ac:dyDescent="0.25">
      <c r="A1669"/>
    </row>
    <row r="1670" spans="1:1" ht="15" x14ac:dyDescent="0.25">
      <c r="A1670"/>
    </row>
    <row r="1671" spans="1:1" ht="15" x14ac:dyDescent="0.25">
      <c r="A1671"/>
    </row>
    <row r="1672" spans="1:1" ht="15" x14ac:dyDescent="0.25">
      <c r="A1672"/>
    </row>
    <row r="1673" spans="1:1" ht="15" x14ac:dyDescent="0.25">
      <c r="A1673"/>
    </row>
    <row r="1674" spans="1:1" ht="15" x14ac:dyDescent="0.25">
      <c r="A1674"/>
    </row>
    <row r="1675" spans="1:1" ht="15" x14ac:dyDescent="0.25">
      <c r="A1675"/>
    </row>
    <row r="1676" spans="1:1" ht="15" x14ac:dyDescent="0.25">
      <c r="A1676"/>
    </row>
    <row r="1677" spans="1:1" ht="15" x14ac:dyDescent="0.25">
      <c r="A1677"/>
    </row>
    <row r="1678" spans="1:1" ht="15" x14ac:dyDescent="0.25">
      <c r="A1678"/>
    </row>
    <row r="1679" spans="1:1" ht="15" x14ac:dyDescent="0.25">
      <c r="A1679"/>
    </row>
    <row r="1680" spans="1:1" ht="15" x14ac:dyDescent="0.25">
      <c r="A1680"/>
    </row>
    <row r="1681" spans="1:1" ht="15" x14ac:dyDescent="0.25">
      <c r="A1681"/>
    </row>
    <row r="1682" spans="1:1" ht="15" x14ac:dyDescent="0.25">
      <c r="A1682"/>
    </row>
    <row r="1683" spans="1:1" ht="15" x14ac:dyDescent="0.25">
      <c r="A1683"/>
    </row>
    <row r="1684" spans="1:1" ht="15" x14ac:dyDescent="0.25">
      <c r="A1684"/>
    </row>
    <row r="1685" spans="1:1" ht="15" x14ac:dyDescent="0.25">
      <c r="A1685"/>
    </row>
    <row r="1686" spans="1:1" ht="15" x14ac:dyDescent="0.25">
      <c r="A1686"/>
    </row>
    <row r="1687" spans="1:1" ht="15" x14ac:dyDescent="0.25">
      <c r="A1687"/>
    </row>
    <row r="1688" spans="1:1" ht="15" x14ac:dyDescent="0.25">
      <c r="A1688"/>
    </row>
    <row r="1689" spans="1:1" ht="15" x14ac:dyDescent="0.25">
      <c r="A1689"/>
    </row>
    <row r="1690" spans="1:1" ht="15" x14ac:dyDescent="0.25">
      <c r="A1690"/>
    </row>
    <row r="1691" spans="1:1" ht="15" x14ac:dyDescent="0.25">
      <c r="A1691"/>
    </row>
    <row r="1692" spans="1:1" ht="15" x14ac:dyDescent="0.25">
      <c r="A1692"/>
    </row>
    <row r="1693" spans="1:1" ht="15" x14ac:dyDescent="0.25">
      <c r="A1693"/>
    </row>
    <row r="1694" spans="1:1" ht="15" x14ac:dyDescent="0.25">
      <c r="A1694"/>
    </row>
    <row r="1695" spans="1:1" ht="15" x14ac:dyDescent="0.25">
      <c r="A1695"/>
    </row>
    <row r="1696" spans="1:1" ht="15" x14ac:dyDescent="0.25">
      <c r="A1696"/>
    </row>
    <row r="1697" spans="1:1" ht="15" x14ac:dyDescent="0.25">
      <c r="A1697"/>
    </row>
    <row r="1698" spans="1:1" ht="15" x14ac:dyDescent="0.25">
      <c r="A1698"/>
    </row>
    <row r="1699" spans="1:1" ht="15" x14ac:dyDescent="0.25">
      <c r="A1699"/>
    </row>
    <row r="1700" spans="1:1" ht="15" x14ac:dyDescent="0.25">
      <c r="A1700"/>
    </row>
    <row r="1701" spans="1:1" ht="15" x14ac:dyDescent="0.25">
      <c r="A1701"/>
    </row>
    <row r="1702" spans="1:1" ht="15" x14ac:dyDescent="0.25">
      <c r="A1702"/>
    </row>
    <row r="1703" spans="1:1" ht="15" x14ac:dyDescent="0.25">
      <c r="A1703"/>
    </row>
    <row r="1704" spans="1:1" ht="15" x14ac:dyDescent="0.25">
      <c r="A1704"/>
    </row>
    <row r="1705" spans="1:1" ht="15" x14ac:dyDescent="0.25">
      <c r="A1705"/>
    </row>
    <row r="1706" spans="1:1" ht="15" x14ac:dyDescent="0.25">
      <c r="A1706"/>
    </row>
    <row r="1707" spans="1:1" ht="15" x14ac:dyDescent="0.25">
      <c r="A1707"/>
    </row>
    <row r="1708" spans="1:1" ht="15" x14ac:dyDescent="0.25">
      <c r="A1708"/>
    </row>
    <row r="1709" spans="1:1" ht="15" x14ac:dyDescent="0.25">
      <c r="A1709"/>
    </row>
    <row r="1710" spans="1:1" ht="15" x14ac:dyDescent="0.25">
      <c r="A1710"/>
    </row>
    <row r="1711" spans="1:1" ht="15" x14ac:dyDescent="0.25">
      <c r="A1711"/>
    </row>
    <row r="1712" spans="1:1" ht="15" x14ac:dyDescent="0.25">
      <c r="A1712"/>
    </row>
    <row r="1713" spans="1:1" ht="15" x14ac:dyDescent="0.25">
      <c r="A1713"/>
    </row>
    <row r="1714" spans="1:1" ht="15" x14ac:dyDescent="0.25">
      <c r="A1714"/>
    </row>
    <row r="1715" spans="1:1" ht="15" x14ac:dyDescent="0.25">
      <c r="A1715"/>
    </row>
    <row r="1716" spans="1:1" ht="15" x14ac:dyDescent="0.25">
      <c r="A1716"/>
    </row>
    <row r="1717" spans="1:1" ht="15" x14ac:dyDescent="0.25">
      <c r="A1717"/>
    </row>
    <row r="1718" spans="1:1" ht="15" x14ac:dyDescent="0.25">
      <c r="A1718"/>
    </row>
    <row r="1719" spans="1:1" ht="15" x14ac:dyDescent="0.25">
      <c r="A1719"/>
    </row>
    <row r="1720" spans="1:1" ht="15" x14ac:dyDescent="0.25">
      <c r="A1720"/>
    </row>
    <row r="1721" spans="1:1" ht="15" x14ac:dyDescent="0.25">
      <c r="A1721"/>
    </row>
    <row r="1722" spans="1:1" ht="15" x14ac:dyDescent="0.25">
      <c r="A1722"/>
    </row>
    <row r="1723" spans="1:1" ht="15" x14ac:dyDescent="0.25">
      <c r="A1723"/>
    </row>
    <row r="1724" spans="1:1" ht="15" x14ac:dyDescent="0.25">
      <c r="A1724"/>
    </row>
    <row r="1725" spans="1:1" ht="15" x14ac:dyDescent="0.25">
      <c r="A1725"/>
    </row>
    <row r="1726" spans="1:1" ht="15" x14ac:dyDescent="0.25">
      <c r="A1726"/>
    </row>
    <row r="1727" spans="1:1" ht="15" x14ac:dyDescent="0.25">
      <c r="A1727"/>
    </row>
    <row r="1728" spans="1:1" ht="15" x14ac:dyDescent="0.25">
      <c r="A1728"/>
    </row>
    <row r="1729" spans="1:1" ht="15" x14ac:dyDescent="0.25">
      <c r="A1729"/>
    </row>
    <row r="1730" spans="1:1" ht="15" x14ac:dyDescent="0.25">
      <c r="A1730"/>
    </row>
    <row r="1731" spans="1:1" ht="15" x14ac:dyDescent="0.25">
      <c r="A1731"/>
    </row>
    <row r="1732" spans="1:1" ht="15" x14ac:dyDescent="0.25">
      <c r="A1732"/>
    </row>
    <row r="1733" spans="1:1" ht="15" x14ac:dyDescent="0.25">
      <c r="A1733"/>
    </row>
    <row r="1734" spans="1:1" ht="15" x14ac:dyDescent="0.25">
      <c r="A1734"/>
    </row>
    <row r="1735" spans="1:1" ht="15" x14ac:dyDescent="0.25">
      <c r="A1735"/>
    </row>
    <row r="1736" spans="1:1" ht="15" x14ac:dyDescent="0.25">
      <c r="A1736"/>
    </row>
    <row r="1737" spans="1:1" ht="15" x14ac:dyDescent="0.25">
      <c r="A1737"/>
    </row>
    <row r="1738" spans="1:1" ht="15" x14ac:dyDescent="0.25">
      <c r="A1738"/>
    </row>
    <row r="1739" spans="1:1" ht="15" x14ac:dyDescent="0.25">
      <c r="A1739"/>
    </row>
    <row r="1740" spans="1:1" ht="15" x14ac:dyDescent="0.25">
      <c r="A1740"/>
    </row>
    <row r="1741" spans="1:1" ht="15" x14ac:dyDescent="0.25">
      <c r="A1741"/>
    </row>
    <row r="1742" spans="1:1" ht="15" x14ac:dyDescent="0.25">
      <c r="A1742"/>
    </row>
    <row r="1743" spans="1:1" ht="15" x14ac:dyDescent="0.25">
      <c r="A1743"/>
    </row>
    <row r="1744" spans="1:1" ht="15" x14ac:dyDescent="0.25">
      <c r="A1744"/>
    </row>
    <row r="1745" spans="1:1" ht="15" x14ac:dyDescent="0.25">
      <c r="A1745"/>
    </row>
    <row r="1746" spans="1:1" ht="15" x14ac:dyDescent="0.25">
      <c r="A1746"/>
    </row>
    <row r="1747" spans="1:1" ht="15" x14ac:dyDescent="0.25">
      <c r="A1747"/>
    </row>
    <row r="1748" spans="1:1" ht="15" x14ac:dyDescent="0.25">
      <c r="A1748"/>
    </row>
    <row r="1749" spans="1:1" ht="15" x14ac:dyDescent="0.25">
      <c r="A1749"/>
    </row>
    <row r="1750" spans="1:1" ht="15" x14ac:dyDescent="0.25">
      <c r="A1750"/>
    </row>
    <row r="1751" spans="1:1" ht="15" x14ac:dyDescent="0.25">
      <c r="A1751"/>
    </row>
    <row r="1752" spans="1:1" ht="15" x14ac:dyDescent="0.25">
      <c r="A1752"/>
    </row>
    <row r="1753" spans="1:1" ht="15" x14ac:dyDescent="0.25">
      <c r="A1753"/>
    </row>
    <row r="1754" spans="1:1" ht="15" x14ac:dyDescent="0.25">
      <c r="A1754"/>
    </row>
    <row r="1755" spans="1:1" ht="15" x14ac:dyDescent="0.25">
      <c r="A1755"/>
    </row>
    <row r="1756" spans="1:1" ht="15" x14ac:dyDescent="0.25">
      <c r="A1756"/>
    </row>
    <row r="1757" spans="1:1" ht="15" x14ac:dyDescent="0.25">
      <c r="A1757"/>
    </row>
    <row r="1758" spans="1:1" ht="15" x14ac:dyDescent="0.25">
      <c r="A1758"/>
    </row>
    <row r="1759" spans="1:1" ht="15" x14ac:dyDescent="0.25">
      <c r="A1759"/>
    </row>
    <row r="1760" spans="1:1" ht="15" x14ac:dyDescent="0.25">
      <c r="A1760"/>
    </row>
    <row r="1761" spans="1:1" ht="15" x14ac:dyDescent="0.25">
      <c r="A1761"/>
    </row>
    <row r="1762" spans="1:1" ht="15" x14ac:dyDescent="0.25">
      <c r="A1762"/>
    </row>
    <row r="1763" spans="1:1" ht="15" x14ac:dyDescent="0.25">
      <c r="A1763"/>
    </row>
    <row r="1764" spans="1:1" ht="15" x14ac:dyDescent="0.25">
      <c r="A1764"/>
    </row>
    <row r="1765" spans="1:1" ht="15" x14ac:dyDescent="0.25">
      <c r="A1765"/>
    </row>
    <row r="1766" spans="1:1" ht="15" x14ac:dyDescent="0.25">
      <c r="A1766"/>
    </row>
    <row r="1767" spans="1:1" ht="15" x14ac:dyDescent="0.25">
      <c r="A1767"/>
    </row>
    <row r="1768" spans="1:1" ht="15" x14ac:dyDescent="0.25">
      <c r="A1768"/>
    </row>
    <row r="1769" spans="1:1" ht="15" x14ac:dyDescent="0.25">
      <c r="A1769"/>
    </row>
    <row r="1770" spans="1:1" ht="15" x14ac:dyDescent="0.25">
      <c r="A1770"/>
    </row>
    <row r="1771" spans="1:1" ht="15" x14ac:dyDescent="0.25">
      <c r="A1771"/>
    </row>
    <row r="1772" spans="1:1" ht="15" x14ac:dyDescent="0.25">
      <c r="A1772"/>
    </row>
    <row r="1773" spans="1:1" ht="15" x14ac:dyDescent="0.25">
      <c r="A1773"/>
    </row>
    <row r="1774" spans="1:1" ht="15" x14ac:dyDescent="0.25">
      <c r="A1774"/>
    </row>
    <row r="1775" spans="1:1" ht="15" x14ac:dyDescent="0.25">
      <c r="A1775"/>
    </row>
    <row r="1776" spans="1:1" ht="15" x14ac:dyDescent="0.25">
      <c r="A1776"/>
    </row>
    <row r="1777" spans="1:1" ht="15" x14ac:dyDescent="0.25">
      <c r="A1777"/>
    </row>
    <row r="1778" spans="1:1" ht="15" x14ac:dyDescent="0.25">
      <c r="A1778"/>
    </row>
    <row r="1779" spans="1:1" ht="15" x14ac:dyDescent="0.25">
      <c r="A1779"/>
    </row>
    <row r="1780" spans="1:1" ht="15" x14ac:dyDescent="0.25">
      <c r="A1780"/>
    </row>
    <row r="1781" spans="1:1" ht="15" x14ac:dyDescent="0.25">
      <c r="A1781"/>
    </row>
    <row r="1782" spans="1:1" ht="15" x14ac:dyDescent="0.25">
      <c r="A1782"/>
    </row>
    <row r="1783" spans="1:1" ht="15" x14ac:dyDescent="0.25">
      <c r="A1783"/>
    </row>
    <row r="1784" spans="1:1" ht="15" x14ac:dyDescent="0.25">
      <c r="A1784"/>
    </row>
    <row r="1785" spans="1:1" ht="15" x14ac:dyDescent="0.25">
      <c r="A1785"/>
    </row>
    <row r="1786" spans="1:1" ht="15" x14ac:dyDescent="0.25">
      <c r="A1786"/>
    </row>
    <row r="1787" spans="1:1" ht="15" x14ac:dyDescent="0.25">
      <c r="A1787"/>
    </row>
    <row r="1788" spans="1:1" ht="15" x14ac:dyDescent="0.25">
      <c r="A1788"/>
    </row>
    <row r="1789" spans="1:1" ht="15" x14ac:dyDescent="0.25">
      <c r="A1789"/>
    </row>
    <row r="1790" spans="1:1" ht="15" x14ac:dyDescent="0.25">
      <c r="A1790"/>
    </row>
    <row r="1791" spans="1:1" ht="15" x14ac:dyDescent="0.25">
      <c r="A1791"/>
    </row>
    <row r="1792" spans="1:1" ht="15" x14ac:dyDescent="0.25">
      <c r="A1792"/>
    </row>
    <row r="1793" spans="1:1" ht="15" x14ac:dyDescent="0.25">
      <c r="A1793"/>
    </row>
    <row r="1794" spans="1:1" ht="15" x14ac:dyDescent="0.25">
      <c r="A1794"/>
    </row>
    <row r="1795" spans="1:1" ht="15" x14ac:dyDescent="0.25">
      <c r="A1795"/>
    </row>
    <row r="1796" spans="1:1" ht="15" x14ac:dyDescent="0.25">
      <c r="A1796"/>
    </row>
    <row r="1797" spans="1:1" ht="15" x14ac:dyDescent="0.25">
      <c r="A1797"/>
    </row>
    <row r="1798" spans="1:1" ht="15" x14ac:dyDescent="0.25">
      <c r="A1798"/>
    </row>
    <row r="1799" spans="1:1" ht="15" x14ac:dyDescent="0.25">
      <c r="A1799"/>
    </row>
    <row r="1800" spans="1:1" ht="15" x14ac:dyDescent="0.25">
      <c r="A1800"/>
    </row>
    <row r="1801" spans="1:1" ht="15" x14ac:dyDescent="0.25">
      <c r="A1801"/>
    </row>
    <row r="1802" spans="1:1" ht="15" x14ac:dyDescent="0.25">
      <c r="A1802"/>
    </row>
    <row r="1803" spans="1:1" ht="15" x14ac:dyDescent="0.25">
      <c r="A1803"/>
    </row>
    <row r="1804" spans="1:1" ht="15" x14ac:dyDescent="0.25">
      <c r="A1804"/>
    </row>
    <row r="1805" spans="1:1" ht="15" x14ac:dyDescent="0.25">
      <c r="A1805"/>
    </row>
    <row r="1806" spans="1:1" ht="15" x14ac:dyDescent="0.25">
      <c r="A1806"/>
    </row>
    <row r="1807" spans="1:1" ht="15" x14ac:dyDescent="0.25">
      <c r="A1807"/>
    </row>
    <row r="1808" spans="1:1" ht="15" x14ac:dyDescent="0.25">
      <c r="A1808"/>
    </row>
    <row r="1809" spans="1:1" ht="15" x14ac:dyDescent="0.25">
      <c r="A1809"/>
    </row>
    <row r="1810" spans="1:1" ht="15" x14ac:dyDescent="0.25">
      <c r="A1810"/>
    </row>
    <row r="1811" spans="1:1" ht="15" x14ac:dyDescent="0.25">
      <c r="A1811"/>
    </row>
    <row r="1812" spans="1:1" ht="15" x14ac:dyDescent="0.25">
      <c r="A1812"/>
    </row>
    <row r="1813" spans="1:1" ht="15" x14ac:dyDescent="0.25">
      <c r="A1813"/>
    </row>
    <row r="1814" spans="1:1" ht="15" x14ac:dyDescent="0.25">
      <c r="A1814"/>
    </row>
    <row r="1815" spans="1:1" ht="15" x14ac:dyDescent="0.25">
      <c r="A1815"/>
    </row>
    <row r="1816" spans="1:1" ht="15" x14ac:dyDescent="0.25">
      <c r="A1816"/>
    </row>
    <row r="1817" spans="1:1" ht="15" x14ac:dyDescent="0.25">
      <c r="A1817"/>
    </row>
    <row r="1818" spans="1:1" ht="15" x14ac:dyDescent="0.25">
      <c r="A1818"/>
    </row>
    <row r="1819" spans="1:1" ht="15" x14ac:dyDescent="0.25">
      <c r="A1819"/>
    </row>
    <row r="1820" spans="1:1" ht="15" x14ac:dyDescent="0.25">
      <c r="A1820"/>
    </row>
    <row r="1821" spans="1:1" ht="15" x14ac:dyDescent="0.25">
      <c r="A1821"/>
    </row>
    <row r="1822" spans="1:1" ht="15" x14ac:dyDescent="0.25">
      <c r="A1822"/>
    </row>
    <row r="1823" spans="1:1" ht="15" x14ac:dyDescent="0.25">
      <c r="A1823"/>
    </row>
    <row r="1824" spans="1:1" ht="15" x14ac:dyDescent="0.25">
      <c r="A1824"/>
    </row>
    <row r="1825" spans="1:1" ht="15" x14ac:dyDescent="0.25">
      <c r="A1825"/>
    </row>
    <row r="1826" spans="1:1" ht="15" x14ac:dyDescent="0.25">
      <c r="A1826"/>
    </row>
    <row r="1827" spans="1:1" ht="15" x14ac:dyDescent="0.25">
      <c r="A1827"/>
    </row>
    <row r="1828" spans="1:1" ht="15" x14ac:dyDescent="0.25">
      <c r="A1828"/>
    </row>
    <row r="1829" spans="1:1" ht="15" x14ac:dyDescent="0.25">
      <c r="A1829"/>
    </row>
    <row r="1830" spans="1:1" ht="15" x14ac:dyDescent="0.25">
      <c r="A1830"/>
    </row>
    <row r="1831" spans="1:1" ht="15" x14ac:dyDescent="0.25">
      <c r="A1831"/>
    </row>
    <row r="1832" spans="1:1" ht="15" x14ac:dyDescent="0.25">
      <c r="A1832"/>
    </row>
    <row r="1833" spans="1:1" ht="15" x14ac:dyDescent="0.25">
      <c r="A1833"/>
    </row>
    <row r="1834" spans="1:1" ht="15" x14ac:dyDescent="0.25">
      <c r="A1834"/>
    </row>
    <row r="1835" spans="1:1" ht="15" x14ac:dyDescent="0.25">
      <c r="A1835"/>
    </row>
    <row r="1836" spans="1:1" ht="15" x14ac:dyDescent="0.25">
      <c r="A1836"/>
    </row>
    <row r="1837" spans="1:1" ht="15" x14ac:dyDescent="0.25">
      <c r="A1837"/>
    </row>
    <row r="1838" spans="1:1" ht="15" x14ac:dyDescent="0.25">
      <c r="A1838"/>
    </row>
    <row r="1839" spans="1:1" ht="15" x14ac:dyDescent="0.25">
      <c r="A1839"/>
    </row>
    <row r="1840" spans="1:1" ht="15" x14ac:dyDescent="0.25">
      <c r="A1840"/>
    </row>
    <row r="1841" spans="1:1" ht="15" x14ac:dyDescent="0.25">
      <c r="A1841"/>
    </row>
    <row r="1842" spans="1:1" ht="15" x14ac:dyDescent="0.25">
      <c r="A1842"/>
    </row>
    <row r="1843" spans="1:1" ht="15" x14ac:dyDescent="0.25">
      <c r="A1843"/>
    </row>
    <row r="1844" spans="1:1" ht="15" x14ac:dyDescent="0.25">
      <c r="A1844"/>
    </row>
    <row r="1845" spans="1:1" ht="15" x14ac:dyDescent="0.25">
      <c r="A1845"/>
    </row>
    <row r="1846" spans="1:1" ht="15" x14ac:dyDescent="0.25">
      <c r="A1846"/>
    </row>
    <row r="1847" spans="1:1" ht="15" x14ac:dyDescent="0.25">
      <c r="A1847"/>
    </row>
    <row r="1848" spans="1:1" ht="15" x14ac:dyDescent="0.25">
      <c r="A1848"/>
    </row>
    <row r="1849" spans="1:1" ht="15" x14ac:dyDescent="0.25">
      <c r="A1849"/>
    </row>
    <row r="1850" spans="1:1" ht="15" x14ac:dyDescent="0.25">
      <c r="A1850"/>
    </row>
    <row r="1851" spans="1:1" ht="15" x14ac:dyDescent="0.25">
      <c r="A1851"/>
    </row>
    <row r="1852" spans="1:1" ht="15" x14ac:dyDescent="0.25">
      <c r="A1852"/>
    </row>
    <row r="1853" spans="1:1" ht="15" x14ac:dyDescent="0.25">
      <c r="A1853"/>
    </row>
    <row r="1854" spans="1:1" ht="15" x14ac:dyDescent="0.25">
      <c r="A1854"/>
    </row>
    <row r="1855" spans="1:1" ht="15" x14ac:dyDescent="0.25">
      <c r="A1855"/>
    </row>
    <row r="1856" spans="1:1" ht="15" x14ac:dyDescent="0.25">
      <c r="A1856"/>
    </row>
    <row r="1857" spans="1:1" ht="15" x14ac:dyDescent="0.25">
      <c r="A1857"/>
    </row>
    <row r="1858" spans="1:1" ht="15" x14ac:dyDescent="0.25">
      <c r="A1858"/>
    </row>
    <row r="1859" spans="1:1" ht="15" x14ac:dyDescent="0.25">
      <c r="A1859"/>
    </row>
    <row r="1860" spans="1:1" ht="15" x14ac:dyDescent="0.25">
      <c r="A1860"/>
    </row>
    <row r="1861" spans="1:1" ht="15" x14ac:dyDescent="0.25">
      <c r="A1861"/>
    </row>
    <row r="1862" spans="1:1" ht="15" x14ac:dyDescent="0.25">
      <c r="A1862"/>
    </row>
    <row r="1863" spans="1:1" ht="15" x14ac:dyDescent="0.25">
      <c r="A1863"/>
    </row>
    <row r="1864" spans="1:1" ht="15" x14ac:dyDescent="0.25">
      <c r="A1864"/>
    </row>
    <row r="1865" spans="1:1" ht="15" x14ac:dyDescent="0.25">
      <c r="A1865"/>
    </row>
    <row r="1866" spans="1:1" ht="15" x14ac:dyDescent="0.25">
      <c r="A1866"/>
    </row>
    <row r="1867" spans="1:1" ht="15" x14ac:dyDescent="0.25">
      <c r="A1867"/>
    </row>
    <row r="1868" spans="1:1" ht="15" x14ac:dyDescent="0.25">
      <c r="A1868"/>
    </row>
    <row r="1869" spans="1:1" ht="15" x14ac:dyDescent="0.25">
      <c r="A1869"/>
    </row>
    <row r="1870" spans="1:1" ht="15" x14ac:dyDescent="0.25">
      <c r="A1870"/>
    </row>
    <row r="1871" spans="1:1" ht="15" x14ac:dyDescent="0.25">
      <c r="A1871"/>
    </row>
    <row r="1872" spans="1:1" ht="15" x14ac:dyDescent="0.25">
      <c r="A1872"/>
    </row>
    <row r="1873" spans="1:1" ht="15" x14ac:dyDescent="0.25">
      <c r="A1873"/>
    </row>
    <row r="1874" spans="1:1" ht="15" x14ac:dyDescent="0.25">
      <c r="A1874"/>
    </row>
    <row r="1875" spans="1:1" ht="15" x14ac:dyDescent="0.25">
      <c r="A1875"/>
    </row>
    <row r="1876" spans="1:1" ht="15" x14ac:dyDescent="0.25">
      <c r="A1876"/>
    </row>
    <row r="1877" spans="1:1" ht="15" x14ac:dyDescent="0.25">
      <c r="A1877"/>
    </row>
    <row r="1878" spans="1:1" ht="15" x14ac:dyDescent="0.25">
      <c r="A1878"/>
    </row>
    <row r="1879" spans="1:1" ht="15" x14ac:dyDescent="0.25">
      <c r="A1879"/>
    </row>
    <row r="1880" spans="1:1" ht="15" x14ac:dyDescent="0.25">
      <c r="A1880"/>
    </row>
    <row r="1881" spans="1:1" ht="15" x14ac:dyDescent="0.25">
      <c r="A1881"/>
    </row>
    <row r="1882" spans="1:1" ht="15" x14ac:dyDescent="0.25">
      <c r="A1882"/>
    </row>
    <row r="1883" spans="1:1" ht="15" x14ac:dyDescent="0.25">
      <c r="A1883"/>
    </row>
    <row r="1884" spans="1:1" ht="15" x14ac:dyDescent="0.25">
      <c r="A1884"/>
    </row>
    <row r="1885" spans="1:1" ht="15" x14ac:dyDescent="0.25">
      <c r="A1885"/>
    </row>
    <row r="1886" spans="1:1" ht="15" x14ac:dyDescent="0.25">
      <c r="A1886"/>
    </row>
    <row r="1887" spans="1:1" ht="15" x14ac:dyDescent="0.25">
      <c r="A1887"/>
    </row>
    <row r="1888" spans="1:1" ht="15" x14ac:dyDescent="0.25">
      <c r="A1888"/>
    </row>
    <row r="1889" spans="1:1" ht="15" x14ac:dyDescent="0.25">
      <c r="A1889"/>
    </row>
    <row r="1890" spans="1:1" ht="15" x14ac:dyDescent="0.25">
      <c r="A1890"/>
    </row>
    <row r="1891" spans="1:1" ht="15" x14ac:dyDescent="0.25">
      <c r="A1891"/>
    </row>
    <row r="1892" spans="1:1" ht="15" x14ac:dyDescent="0.25">
      <c r="A1892"/>
    </row>
    <row r="1893" spans="1:1" ht="15" x14ac:dyDescent="0.25">
      <c r="A1893"/>
    </row>
    <row r="1894" spans="1:1" ht="15" x14ac:dyDescent="0.25">
      <c r="A1894"/>
    </row>
    <row r="1895" spans="1:1" ht="15" x14ac:dyDescent="0.25">
      <c r="A1895"/>
    </row>
    <row r="1896" spans="1:1" ht="15" x14ac:dyDescent="0.25">
      <c r="A1896"/>
    </row>
    <row r="1897" spans="1:1" ht="15" x14ac:dyDescent="0.25">
      <c r="A1897"/>
    </row>
    <row r="1898" spans="1:1" ht="15" x14ac:dyDescent="0.25">
      <c r="A1898"/>
    </row>
    <row r="1899" spans="1:1" ht="15" x14ac:dyDescent="0.25">
      <c r="A1899"/>
    </row>
    <row r="1900" spans="1:1" ht="15" x14ac:dyDescent="0.25">
      <c r="A1900"/>
    </row>
    <row r="1901" spans="1:1" ht="15" x14ac:dyDescent="0.25">
      <c r="A1901"/>
    </row>
    <row r="1902" spans="1:1" ht="15" x14ac:dyDescent="0.25">
      <c r="A1902"/>
    </row>
    <row r="1903" spans="1:1" ht="15" x14ac:dyDescent="0.25">
      <c r="A1903"/>
    </row>
    <row r="1904" spans="1:1" ht="15" x14ac:dyDescent="0.25">
      <c r="A1904"/>
    </row>
    <row r="1905" spans="1:1" ht="15" x14ac:dyDescent="0.25">
      <c r="A1905"/>
    </row>
    <row r="1906" spans="1:1" ht="15" x14ac:dyDescent="0.25">
      <c r="A1906"/>
    </row>
    <row r="1907" spans="1:1" ht="15" x14ac:dyDescent="0.25">
      <c r="A1907"/>
    </row>
    <row r="1908" spans="1:1" ht="15" x14ac:dyDescent="0.25">
      <c r="A1908"/>
    </row>
    <row r="1909" spans="1:1" ht="15" x14ac:dyDescent="0.25">
      <c r="A1909"/>
    </row>
    <row r="1910" spans="1:1" ht="15" x14ac:dyDescent="0.25">
      <c r="A1910"/>
    </row>
    <row r="1911" spans="1:1" ht="15" x14ac:dyDescent="0.25">
      <c r="A1911"/>
    </row>
    <row r="1912" spans="1:1" ht="15" x14ac:dyDescent="0.25">
      <c r="A1912"/>
    </row>
    <row r="1913" spans="1:1" ht="15" x14ac:dyDescent="0.25">
      <c r="A1913"/>
    </row>
    <row r="1914" spans="1:1" ht="15" x14ac:dyDescent="0.25">
      <c r="A1914"/>
    </row>
    <row r="1915" spans="1:1" ht="15" x14ac:dyDescent="0.25">
      <c r="A1915"/>
    </row>
    <row r="1916" spans="1:1" ht="15" x14ac:dyDescent="0.25">
      <c r="A1916"/>
    </row>
    <row r="1917" spans="1:1" ht="15" x14ac:dyDescent="0.25">
      <c r="A1917"/>
    </row>
    <row r="1918" spans="1:1" ht="15" x14ac:dyDescent="0.25">
      <c r="A1918"/>
    </row>
    <row r="1919" spans="1:1" ht="15" x14ac:dyDescent="0.25">
      <c r="A1919"/>
    </row>
    <row r="1920" spans="1:1" ht="15" x14ac:dyDescent="0.25">
      <c r="A1920"/>
    </row>
    <row r="1921" spans="1:1" ht="15" x14ac:dyDescent="0.25">
      <c r="A1921"/>
    </row>
    <row r="1922" spans="1:1" ht="15" x14ac:dyDescent="0.25">
      <c r="A1922"/>
    </row>
    <row r="1923" spans="1:1" ht="15" x14ac:dyDescent="0.25">
      <c r="A1923"/>
    </row>
    <row r="1924" spans="1:1" ht="15" x14ac:dyDescent="0.25">
      <c r="A1924"/>
    </row>
    <row r="1925" spans="1:1" ht="15" x14ac:dyDescent="0.25">
      <c r="A1925"/>
    </row>
    <row r="1926" spans="1:1" ht="15" x14ac:dyDescent="0.25">
      <c r="A1926"/>
    </row>
    <row r="1927" spans="1:1" ht="15" x14ac:dyDescent="0.25">
      <c r="A1927"/>
    </row>
    <row r="1928" spans="1:1" ht="15" x14ac:dyDescent="0.25">
      <c r="A1928"/>
    </row>
    <row r="1929" spans="1:1" ht="15" x14ac:dyDescent="0.25">
      <c r="A1929"/>
    </row>
    <row r="1930" spans="1:1" ht="15" x14ac:dyDescent="0.25">
      <c r="A1930"/>
    </row>
    <row r="1931" spans="1:1" ht="15" x14ac:dyDescent="0.25">
      <c r="A1931"/>
    </row>
    <row r="1932" spans="1:1" ht="15" x14ac:dyDescent="0.25">
      <c r="A1932"/>
    </row>
    <row r="1933" spans="1:1" ht="15" x14ac:dyDescent="0.25">
      <c r="A1933"/>
    </row>
    <row r="1934" spans="1:1" ht="15" x14ac:dyDescent="0.25">
      <c r="A1934"/>
    </row>
    <row r="1935" spans="1:1" ht="15" x14ac:dyDescent="0.25">
      <c r="A1935"/>
    </row>
    <row r="1936" spans="1:1" ht="15" x14ac:dyDescent="0.25">
      <c r="A1936"/>
    </row>
    <row r="1937" spans="1:1" ht="15" x14ac:dyDescent="0.25">
      <c r="A1937"/>
    </row>
    <row r="1938" spans="1:1" ht="15" x14ac:dyDescent="0.25">
      <c r="A1938"/>
    </row>
    <row r="1939" spans="1:1" ht="15" x14ac:dyDescent="0.25">
      <c r="A1939"/>
    </row>
    <row r="1940" spans="1:1" ht="15" x14ac:dyDescent="0.25">
      <c r="A1940"/>
    </row>
    <row r="1941" spans="1:1" ht="15" x14ac:dyDescent="0.25">
      <c r="A1941"/>
    </row>
    <row r="1942" spans="1:1" ht="15" x14ac:dyDescent="0.25">
      <c r="A1942"/>
    </row>
    <row r="1943" spans="1:1" ht="15" x14ac:dyDescent="0.25">
      <c r="A1943"/>
    </row>
    <row r="1944" spans="1:1" ht="15" x14ac:dyDescent="0.25">
      <c r="A1944"/>
    </row>
    <row r="1945" spans="1:1" ht="15" x14ac:dyDescent="0.25">
      <c r="A1945"/>
    </row>
    <row r="1946" spans="1:1" ht="15" x14ac:dyDescent="0.25">
      <c r="A1946"/>
    </row>
    <row r="1947" spans="1:1" ht="15" x14ac:dyDescent="0.25">
      <c r="A1947"/>
    </row>
    <row r="1948" spans="1:1" ht="15" x14ac:dyDescent="0.25">
      <c r="A1948"/>
    </row>
    <row r="1949" spans="1:1" ht="15" x14ac:dyDescent="0.25">
      <c r="A1949"/>
    </row>
    <row r="1950" spans="1:1" ht="15" x14ac:dyDescent="0.25">
      <c r="A1950"/>
    </row>
    <row r="1951" spans="1:1" ht="15" x14ac:dyDescent="0.25">
      <c r="A1951"/>
    </row>
    <row r="1952" spans="1:1" ht="15" x14ac:dyDescent="0.25">
      <c r="A1952"/>
    </row>
    <row r="1953" spans="1:1" ht="15" x14ac:dyDescent="0.25">
      <c r="A1953"/>
    </row>
    <row r="1954" spans="1:1" ht="15" x14ac:dyDescent="0.25">
      <c r="A1954"/>
    </row>
    <row r="1955" spans="1:1" ht="15" x14ac:dyDescent="0.25">
      <c r="A1955"/>
    </row>
    <row r="1956" spans="1:1" ht="15" x14ac:dyDescent="0.25">
      <c r="A1956"/>
    </row>
    <row r="1957" spans="1:1" ht="15" x14ac:dyDescent="0.25">
      <c r="A1957"/>
    </row>
    <row r="1958" spans="1:1" ht="15" x14ac:dyDescent="0.25">
      <c r="A1958"/>
    </row>
    <row r="1959" spans="1:1" ht="15" x14ac:dyDescent="0.25">
      <c r="A1959"/>
    </row>
    <row r="1960" spans="1:1" ht="15" x14ac:dyDescent="0.25">
      <c r="A1960"/>
    </row>
    <row r="1961" spans="1:1" ht="15" x14ac:dyDescent="0.25">
      <c r="A1961"/>
    </row>
    <row r="1962" spans="1:1" ht="15" x14ac:dyDescent="0.25">
      <c r="A1962"/>
    </row>
    <row r="1963" spans="1:1" ht="15" x14ac:dyDescent="0.25">
      <c r="A1963"/>
    </row>
    <row r="1964" spans="1:1" ht="15" x14ac:dyDescent="0.25">
      <c r="A1964"/>
    </row>
    <row r="1965" spans="1:1" ht="15" x14ac:dyDescent="0.25">
      <c r="A1965"/>
    </row>
    <row r="1966" spans="1:1" ht="15" x14ac:dyDescent="0.25">
      <c r="A1966"/>
    </row>
    <row r="1967" spans="1:1" ht="15" x14ac:dyDescent="0.25">
      <c r="A1967"/>
    </row>
    <row r="1968" spans="1:1" ht="15" x14ac:dyDescent="0.25">
      <c r="A1968"/>
    </row>
    <row r="1969" spans="1:1" ht="15" x14ac:dyDescent="0.25">
      <c r="A1969"/>
    </row>
    <row r="1970" spans="1:1" ht="15" x14ac:dyDescent="0.25">
      <c r="A1970"/>
    </row>
    <row r="1971" spans="1:1" ht="15" x14ac:dyDescent="0.25">
      <c r="A1971"/>
    </row>
    <row r="1972" spans="1:1" ht="15" x14ac:dyDescent="0.25">
      <c r="A1972"/>
    </row>
    <row r="1973" spans="1:1" ht="15" x14ac:dyDescent="0.25">
      <c r="A1973"/>
    </row>
    <row r="1974" spans="1:1" ht="15" x14ac:dyDescent="0.25">
      <c r="A1974"/>
    </row>
    <row r="1975" spans="1:1" ht="15" x14ac:dyDescent="0.25">
      <c r="A1975"/>
    </row>
    <row r="1976" spans="1:1" ht="15" x14ac:dyDescent="0.25">
      <c r="A1976"/>
    </row>
    <row r="1977" spans="1:1" ht="15" x14ac:dyDescent="0.25">
      <c r="A1977"/>
    </row>
    <row r="1978" spans="1:1" ht="15" x14ac:dyDescent="0.25">
      <c r="A1978"/>
    </row>
    <row r="1979" spans="1:1" ht="15" x14ac:dyDescent="0.25">
      <c r="A1979"/>
    </row>
    <row r="1980" spans="1:1" ht="15" x14ac:dyDescent="0.25">
      <c r="A1980"/>
    </row>
    <row r="1981" spans="1:1" ht="15" x14ac:dyDescent="0.25">
      <c r="A1981"/>
    </row>
    <row r="1982" spans="1:1" ht="15" x14ac:dyDescent="0.25">
      <c r="A1982"/>
    </row>
    <row r="1983" spans="1:1" ht="15" x14ac:dyDescent="0.25">
      <c r="A1983"/>
    </row>
    <row r="1984" spans="1:1" ht="15" x14ac:dyDescent="0.25">
      <c r="A1984"/>
    </row>
    <row r="1985" spans="1:1" ht="15" x14ac:dyDescent="0.25">
      <c r="A1985"/>
    </row>
    <row r="1986" spans="1:1" ht="15" x14ac:dyDescent="0.25">
      <c r="A1986"/>
    </row>
    <row r="1987" spans="1:1" ht="15" x14ac:dyDescent="0.25">
      <c r="A1987"/>
    </row>
    <row r="1988" spans="1:1" ht="15" x14ac:dyDescent="0.25">
      <c r="A1988"/>
    </row>
    <row r="1989" spans="1:1" ht="15" x14ac:dyDescent="0.25">
      <c r="A1989"/>
    </row>
    <row r="1990" spans="1:1" ht="15" x14ac:dyDescent="0.25">
      <c r="A1990"/>
    </row>
    <row r="1991" spans="1:1" ht="15" x14ac:dyDescent="0.25">
      <c r="A1991"/>
    </row>
    <row r="1992" spans="1:1" ht="15" x14ac:dyDescent="0.25">
      <c r="A1992"/>
    </row>
    <row r="1993" spans="1:1" ht="15" x14ac:dyDescent="0.25">
      <c r="A1993"/>
    </row>
    <row r="1994" spans="1:1" ht="15" x14ac:dyDescent="0.25">
      <c r="A1994"/>
    </row>
    <row r="1995" spans="1:1" ht="15" x14ac:dyDescent="0.25">
      <c r="A1995"/>
    </row>
    <row r="1996" spans="1:1" ht="15" x14ac:dyDescent="0.25">
      <c r="A1996"/>
    </row>
    <row r="1997" spans="1:1" ht="15" x14ac:dyDescent="0.25">
      <c r="A1997"/>
    </row>
    <row r="1998" spans="1:1" ht="15" x14ac:dyDescent="0.25">
      <c r="A1998"/>
    </row>
    <row r="1999" spans="1:1" ht="15" x14ac:dyDescent="0.25">
      <c r="A1999"/>
    </row>
    <row r="2000" spans="1:1" ht="15" x14ac:dyDescent="0.25">
      <c r="A2000"/>
    </row>
    <row r="2001" spans="1:1" ht="15" x14ac:dyDescent="0.25">
      <c r="A2001"/>
    </row>
    <row r="2002" spans="1:1" ht="15" x14ac:dyDescent="0.25">
      <c r="A2002"/>
    </row>
    <row r="2003" spans="1:1" ht="15" x14ac:dyDescent="0.25">
      <c r="A2003"/>
    </row>
    <row r="2004" spans="1:1" ht="15" x14ac:dyDescent="0.25">
      <c r="A2004"/>
    </row>
    <row r="2005" spans="1:1" ht="15" x14ac:dyDescent="0.25">
      <c r="A2005"/>
    </row>
    <row r="2006" spans="1:1" ht="15" x14ac:dyDescent="0.25">
      <c r="A2006"/>
    </row>
    <row r="2007" spans="1:1" ht="15" x14ac:dyDescent="0.25">
      <c r="A2007"/>
    </row>
    <row r="2008" spans="1:1" ht="15" x14ac:dyDescent="0.25">
      <c r="A2008"/>
    </row>
    <row r="2009" spans="1:1" ht="15" x14ac:dyDescent="0.25">
      <c r="A2009"/>
    </row>
    <row r="2010" spans="1:1" ht="15" x14ac:dyDescent="0.25">
      <c r="A2010"/>
    </row>
    <row r="2011" spans="1:1" ht="15" x14ac:dyDescent="0.25">
      <c r="A2011"/>
    </row>
    <row r="2012" spans="1:1" ht="15" x14ac:dyDescent="0.25">
      <c r="A2012"/>
    </row>
    <row r="2013" spans="1:1" ht="15" x14ac:dyDescent="0.25">
      <c r="A2013"/>
    </row>
    <row r="2014" spans="1:1" ht="15" x14ac:dyDescent="0.25">
      <c r="A2014"/>
    </row>
    <row r="2015" spans="1:1" ht="15" x14ac:dyDescent="0.25">
      <c r="A2015"/>
    </row>
    <row r="2016" spans="1:1" ht="15" x14ac:dyDescent="0.25">
      <c r="A2016"/>
    </row>
    <row r="2017" spans="1:1" ht="15" x14ac:dyDescent="0.25">
      <c r="A2017"/>
    </row>
    <row r="2018" spans="1:1" ht="15" x14ac:dyDescent="0.25">
      <c r="A2018"/>
    </row>
    <row r="2019" spans="1:1" ht="15" x14ac:dyDescent="0.25">
      <c r="A2019"/>
    </row>
    <row r="2020" spans="1:1" ht="15" x14ac:dyDescent="0.25">
      <c r="A2020"/>
    </row>
    <row r="2021" spans="1:1" ht="15" x14ac:dyDescent="0.25">
      <c r="A2021"/>
    </row>
    <row r="2022" spans="1:1" ht="15" x14ac:dyDescent="0.25">
      <c r="A2022"/>
    </row>
    <row r="2023" spans="1:1" ht="15" x14ac:dyDescent="0.25">
      <c r="A2023"/>
    </row>
    <row r="2024" spans="1:1" ht="15" x14ac:dyDescent="0.25">
      <c r="A2024"/>
    </row>
    <row r="2025" spans="1:1" ht="15" x14ac:dyDescent="0.25">
      <c r="A2025"/>
    </row>
    <row r="2026" spans="1:1" ht="15" x14ac:dyDescent="0.25">
      <c r="A2026"/>
    </row>
    <row r="2027" spans="1:1" ht="15" x14ac:dyDescent="0.25">
      <c r="A2027"/>
    </row>
    <row r="2028" spans="1:1" ht="15" x14ac:dyDescent="0.25">
      <c r="A2028"/>
    </row>
    <row r="2029" spans="1:1" ht="15" x14ac:dyDescent="0.25">
      <c r="A2029"/>
    </row>
    <row r="2030" spans="1:1" ht="15" x14ac:dyDescent="0.25">
      <c r="A2030"/>
    </row>
    <row r="2031" spans="1:1" ht="15" x14ac:dyDescent="0.25">
      <c r="A2031"/>
    </row>
    <row r="2032" spans="1:1" ht="15" x14ac:dyDescent="0.25">
      <c r="A2032"/>
    </row>
    <row r="2033" spans="1:1" ht="15" x14ac:dyDescent="0.25">
      <c r="A2033"/>
    </row>
    <row r="2034" spans="1:1" ht="15" x14ac:dyDescent="0.25">
      <c r="A2034"/>
    </row>
    <row r="2035" spans="1:1" ht="15" x14ac:dyDescent="0.25">
      <c r="A2035"/>
    </row>
    <row r="2036" spans="1:1" ht="15" x14ac:dyDescent="0.25">
      <c r="A2036"/>
    </row>
    <row r="2037" spans="1:1" ht="15" x14ac:dyDescent="0.25">
      <c r="A2037"/>
    </row>
    <row r="2038" spans="1:1" ht="15" x14ac:dyDescent="0.25">
      <c r="A2038"/>
    </row>
    <row r="2039" spans="1:1" ht="15" x14ac:dyDescent="0.25">
      <c r="A2039"/>
    </row>
    <row r="2040" spans="1:1" ht="15" x14ac:dyDescent="0.25">
      <c r="A2040"/>
    </row>
    <row r="2041" spans="1:1" ht="15" x14ac:dyDescent="0.25">
      <c r="A2041"/>
    </row>
    <row r="2042" spans="1:1" ht="15" x14ac:dyDescent="0.25">
      <c r="A2042"/>
    </row>
    <row r="2043" spans="1:1" ht="15" x14ac:dyDescent="0.25">
      <c r="A2043"/>
    </row>
    <row r="2044" spans="1:1" ht="15" x14ac:dyDescent="0.25">
      <c r="A2044"/>
    </row>
    <row r="2045" spans="1:1" ht="15" x14ac:dyDescent="0.25">
      <c r="A2045"/>
    </row>
    <row r="2046" spans="1:1" ht="15" x14ac:dyDescent="0.25">
      <c r="A2046"/>
    </row>
    <row r="2047" spans="1:1" ht="15" x14ac:dyDescent="0.25">
      <c r="A2047"/>
    </row>
    <row r="2048" spans="1:1" ht="15" x14ac:dyDescent="0.25">
      <c r="A2048"/>
    </row>
    <row r="2049" spans="1:1" ht="15" x14ac:dyDescent="0.25">
      <c r="A2049"/>
    </row>
    <row r="2050" spans="1:1" ht="15" x14ac:dyDescent="0.25">
      <c r="A2050"/>
    </row>
    <row r="2051" spans="1:1" ht="15" x14ac:dyDescent="0.25">
      <c r="A2051"/>
    </row>
    <row r="2052" spans="1:1" ht="15" x14ac:dyDescent="0.25">
      <c r="A2052"/>
    </row>
    <row r="2053" spans="1:1" ht="15" x14ac:dyDescent="0.25">
      <c r="A2053"/>
    </row>
    <row r="2054" spans="1:1" ht="15" x14ac:dyDescent="0.25">
      <c r="A2054"/>
    </row>
    <row r="2055" spans="1:1" ht="15" x14ac:dyDescent="0.25">
      <c r="A2055"/>
    </row>
    <row r="2056" spans="1:1" ht="15" x14ac:dyDescent="0.25">
      <c r="A2056"/>
    </row>
    <row r="2057" spans="1:1" ht="15" x14ac:dyDescent="0.25">
      <c r="A2057"/>
    </row>
    <row r="2058" spans="1:1" ht="15" x14ac:dyDescent="0.25">
      <c r="A2058"/>
    </row>
    <row r="2059" spans="1:1" ht="15" x14ac:dyDescent="0.25">
      <c r="A2059"/>
    </row>
    <row r="2060" spans="1:1" ht="15" x14ac:dyDescent="0.25">
      <c r="A2060"/>
    </row>
    <row r="2061" spans="1:1" ht="15" x14ac:dyDescent="0.25">
      <c r="A2061"/>
    </row>
    <row r="2062" spans="1:1" ht="15" x14ac:dyDescent="0.25">
      <c r="A2062"/>
    </row>
    <row r="2063" spans="1:1" ht="15" x14ac:dyDescent="0.25">
      <c r="A2063"/>
    </row>
    <row r="2064" spans="1:1" ht="15" x14ac:dyDescent="0.25">
      <c r="A2064"/>
    </row>
    <row r="2065" spans="1:1" ht="15" x14ac:dyDescent="0.25">
      <c r="A2065"/>
    </row>
    <row r="2066" spans="1:1" ht="15" x14ac:dyDescent="0.25">
      <c r="A2066"/>
    </row>
    <row r="2067" spans="1:1" ht="15" x14ac:dyDescent="0.25">
      <c r="A2067"/>
    </row>
    <row r="2068" spans="1:1" ht="15" x14ac:dyDescent="0.25">
      <c r="A2068"/>
    </row>
    <row r="2069" spans="1:1" ht="15" x14ac:dyDescent="0.25">
      <c r="A2069"/>
    </row>
    <row r="2070" spans="1:1" ht="15" x14ac:dyDescent="0.25">
      <c r="A2070"/>
    </row>
    <row r="2071" spans="1:1" ht="15" x14ac:dyDescent="0.25">
      <c r="A2071"/>
    </row>
    <row r="2072" spans="1:1" ht="15" x14ac:dyDescent="0.25">
      <c r="A2072"/>
    </row>
    <row r="2073" spans="1:1" ht="15" x14ac:dyDescent="0.25">
      <c r="A2073"/>
    </row>
    <row r="2074" spans="1:1" ht="15" x14ac:dyDescent="0.25">
      <c r="A2074"/>
    </row>
    <row r="2075" spans="1:1" ht="15" x14ac:dyDescent="0.25">
      <c r="A2075"/>
    </row>
    <row r="2076" spans="1:1" ht="15" x14ac:dyDescent="0.25">
      <c r="A2076"/>
    </row>
    <row r="2077" spans="1:1" ht="15" x14ac:dyDescent="0.25">
      <c r="A2077"/>
    </row>
    <row r="2078" spans="1:1" ht="15" x14ac:dyDescent="0.25">
      <c r="A2078"/>
    </row>
    <row r="2079" spans="1:1" ht="15" x14ac:dyDescent="0.25">
      <c r="A2079"/>
    </row>
    <row r="2080" spans="1:1" ht="15" x14ac:dyDescent="0.25">
      <c r="A2080"/>
    </row>
    <row r="2081" spans="1:1" ht="15" x14ac:dyDescent="0.25">
      <c r="A2081"/>
    </row>
    <row r="2082" spans="1:1" ht="15" x14ac:dyDescent="0.25">
      <c r="A2082"/>
    </row>
    <row r="2083" spans="1:1" ht="15" x14ac:dyDescent="0.25">
      <c r="A2083"/>
    </row>
    <row r="2084" spans="1:1" ht="15" x14ac:dyDescent="0.25">
      <c r="A2084"/>
    </row>
    <row r="2085" spans="1:1" ht="15" x14ac:dyDescent="0.25">
      <c r="A2085"/>
    </row>
    <row r="2086" spans="1:1" ht="15" x14ac:dyDescent="0.25">
      <c r="A2086"/>
    </row>
    <row r="2087" spans="1:1" ht="15" x14ac:dyDescent="0.25">
      <c r="A2087"/>
    </row>
    <row r="2088" spans="1:1" ht="15" x14ac:dyDescent="0.25">
      <c r="A2088"/>
    </row>
    <row r="2089" spans="1:1" ht="15" x14ac:dyDescent="0.25">
      <c r="A2089"/>
    </row>
    <row r="2090" spans="1:1" ht="15" x14ac:dyDescent="0.25">
      <c r="A2090"/>
    </row>
    <row r="2091" spans="1:1" ht="15" x14ac:dyDescent="0.25">
      <c r="A2091"/>
    </row>
    <row r="2092" spans="1:1" ht="15" x14ac:dyDescent="0.25">
      <c r="A2092"/>
    </row>
    <row r="2093" spans="1:1" ht="15" x14ac:dyDescent="0.25">
      <c r="A2093"/>
    </row>
    <row r="2094" spans="1:1" ht="15" x14ac:dyDescent="0.25">
      <c r="A2094"/>
    </row>
    <row r="2095" spans="1:1" ht="15" x14ac:dyDescent="0.25">
      <c r="A2095"/>
    </row>
    <row r="2096" spans="1:1" ht="15" x14ac:dyDescent="0.25">
      <c r="A2096"/>
    </row>
    <row r="2097" spans="1:1" ht="15" x14ac:dyDescent="0.25">
      <c r="A2097"/>
    </row>
    <row r="2098" spans="1:1" ht="15" x14ac:dyDescent="0.25">
      <c r="A2098"/>
    </row>
    <row r="2099" spans="1:1" ht="15" x14ac:dyDescent="0.25">
      <c r="A2099"/>
    </row>
    <row r="2100" spans="1:1" ht="15" x14ac:dyDescent="0.25">
      <c r="A2100"/>
    </row>
    <row r="2101" spans="1:1" ht="15" x14ac:dyDescent="0.25">
      <c r="A2101"/>
    </row>
    <row r="2102" spans="1:1" ht="15" x14ac:dyDescent="0.25">
      <c r="A2102"/>
    </row>
    <row r="2103" spans="1:1" ht="15" x14ac:dyDescent="0.25">
      <c r="A2103"/>
    </row>
    <row r="2104" spans="1:1" ht="15" x14ac:dyDescent="0.25">
      <c r="A2104"/>
    </row>
    <row r="2105" spans="1:1" ht="15" x14ac:dyDescent="0.25">
      <c r="A2105"/>
    </row>
    <row r="2106" spans="1:1" ht="15" x14ac:dyDescent="0.25">
      <c r="A2106"/>
    </row>
    <row r="2107" spans="1:1" ht="15" x14ac:dyDescent="0.25">
      <c r="A2107"/>
    </row>
    <row r="2108" spans="1:1" ht="15" x14ac:dyDescent="0.25">
      <c r="A2108"/>
    </row>
    <row r="2109" spans="1:1" ht="15" x14ac:dyDescent="0.25">
      <c r="A2109"/>
    </row>
    <row r="2110" spans="1:1" ht="15" x14ac:dyDescent="0.25">
      <c r="A2110"/>
    </row>
    <row r="2111" spans="1:1" ht="15" x14ac:dyDescent="0.25">
      <c r="A2111"/>
    </row>
    <row r="2112" spans="1:1" ht="15" x14ac:dyDescent="0.25">
      <c r="A2112"/>
    </row>
    <row r="2113" spans="1:1" ht="15" x14ac:dyDescent="0.25">
      <c r="A2113"/>
    </row>
    <row r="2114" spans="1:1" ht="15" x14ac:dyDescent="0.25">
      <c r="A2114"/>
    </row>
    <row r="2115" spans="1:1" ht="15" x14ac:dyDescent="0.25">
      <c r="A2115"/>
    </row>
    <row r="2116" spans="1:1" ht="15" x14ac:dyDescent="0.25">
      <c r="A2116"/>
    </row>
    <row r="2117" spans="1:1" ht="15" x14ac:dyDescent="0.25">
      <c r="A2117"/>
    </row>
    <row r="2118" spans="1:1" ht="15" x14ac:dyDescent="0.25">
      <c r="A2118"/>
    </row>
    <row r="2119" spans="1:1" ht="15" x14ac:dyDescent="0.25">
      <c r="A2119"/>
    </row>
    <row r="2120" spans="1:1" ht="15" x14ac:dyDescent="0.25">
      <c r="A2120"/>
    </row>
    <row r="2121" spans="1:1" ht="15" x14ac:dyDescent="0.25">
      <c r="A2121"/>
    </row>
    <row r="2122" spans="1:1" ht="15" x14ac:dyDescent="0.25">
      <c r="A2122"/>
    </row>
    <row r="2123" spans="1:1" ht="15" x14ac:dyDescent="0.25">
      <c r="A2123"/>
    </row>
    <row r="2124" spans="1:1" ht="15" x14ac:dyDescent="0.25">
      <c r="A2124"/>
    </row>
    <row r="2125" spans="1:1" ht="15" x14ac:dyDescent="0.25">
      <c r="A2125"/>
    </row>
    <row r="2126" spans="1:1" ht="15" x14ac:dyDescent="0.25">
      <c r="A2126"/>
    </row>
    <row r="2127" spans="1:1" ht="15" x14ac:dyDescent="0.25">
      <c r="A2127"/>
    </row>
    <row r="2128" spans="1:1" ht="15" x14ac:dyDescent="0.25">
      <c r="A2128"/>
    </row>
    <row r="2129" spans="1:1" ht="15" x14ac:dyDescent="0.25">
      <c r="A2129"/>
    </row>
    <row r="2130" spans="1:1" ht="15" x14ac:dyDescent="0.25">
      <c r="A2130"/>
    </row>
    <row r="2131" spans="1:1" ht="15" x14ac:dyDescent="0.25">
      <c r="A2131"/>
    </row>
    <row r="2132" spans="1:1" ht="15" x14ac:dyDescent="0.25">
      <c r="A2132"/>
    </row>
    <row r="2133" spans="1:1" ht="15" x14ac:dyDescent="0.25">
      <c r="A2133"/>
    </row>
    <row r="2134" spans="1:1" ht="15" x14ac:dyDescent="0.25">
      <c r="A2134"/>
    </row>
    <row r="2135" spans="1:1" ht="15" x14ac:dyDescent="0.25">
      <c r="A2135"/>
    </row>
    <row r="2136" spans="1:1" ht="15" x14ac:dyDescent="0.25">
      <c r="A2136"/>
    </row>
    <row r="2137" spans="1:1" ht="15" x14ac:dyDescent="0.25">
      <c r="A2137"/>
    </row>
    <row r="2138" spans="1:1" ht="15" x14ac:dyDescent="0.25">
      <c r="A2138"/>
    </row>
    <row r="2139" spans="1:1" ht="15" x14ac:dyDescent="0.25">
      <c r="A2139"/>
    </row>
    <row r="2140" spans="1:1" ht="15" x14ac:dyDescent="0.25">
      <c r="A2140"/>
    </row>
    <row r="2141" spans="1:1" ht="15" x14ac:dyDescent="0.25">
      <c r="A2141"/>
    </row>
    <row r="2142" spans="1:1" ht="15" x14ac:dyDescent="0.25">
      <c r="A2142"/>
    </row>
    <row r="2143" spans="1:1" ht="15" x14ac:dyDescent="0.25">
      <c r="A2143"/>
    </row>
    <row r="2144" spans="1:1" ht="15" x14ac:dyDescent="0.25">
      <c r="A2144"/>
    </row>
    <row r="2145" spans="1:1" ht="15" x14ac:dyDescent="0.25">
      <c r="A2145"/>
    </row>
    <row r="2146" spans="1:1" ht="15" x14ac:dyDescent="0.25">
      <c r="A2146"/>
    </row>
    <row r="2147" spans="1:1" ht="15" x14ac:dyDescent="0.25">
      <c r="A2147"/>
    </row>
    <row r="2148" spans="1:1" ht="15" x14ac:dyDescent="0.25">
      <c r="A2148"/>
    </row>
    <row r="2149" spans="1:1" ht="15" x14ac:dyDescent="0.25">
      <c r="A2149"/>
    </row>
    <row r="2150" spans="1:1" ht="15" x14ac:dyDescent="0.25">
      <c r="A2150"/>
    </row>
    <row r="2151" spans="1:1" ht="15" x14ac:dyDescent="0.25">
      <c r="A2151"/>
    </row>
    <row r="2152" spans="1:1" ht="15" x14ac:dyDescent="0.25">
      <c r="A2152"/>
    </row>
    <row r="2153" spans="1:1" ht="15" x14ac:dyDescent="0.25">
      <c r="A2153"/>
    </row>
    <row r="2154" spans="1:1" ht="15" x14ac:dyDescent="0.25">
      <c r="A2154"/>
    </row>
    <row r="2155" spans="1:1" ht="15" x14ac:dyDescent="0.25">
      <c r="A2155"/>
    </row>
    <row r="2156" spans="1:1" ht="15" x14ac:dyDescent="0.25">
      <c r="A2156"/>
    </row>
    <row r="2157" spans="1:1" ht="15" x14ac:dyDescent="0.25">
      <c r="A2157"/>
    </row>
    <row r="2158" spans="1:1" ht="15" x14ac:dyDescent="0.25">
      <c r="A2158"/>
    </row>
    <row r="2159" spans="1:1" ht="15" x14ac:dyDescent="0.25">
      <c r="A2159"/>
    </row>
    <row r="2160" spans="1:1" ht="15" x14ac:dyDescent="0.25">
      <c r="A2160"/>
    </row>
    <row r="2161" spans="1:1" ht="15" x14ac:dyDescent="0.25">
      <c r="A2161"/>
    </row>
    <row r="2162" spans="1:1" ht="15" x14ac:dyDescent="0.25">
      <c r="A2162"/>
    </row>
    <row r="2163" spans="1:1" ht="15" x14ac:dyDescent="0.25">
      <c r="A2163"/>
    </row>
    <row r="2164" spans="1:1" ht="15" x14ac:dyDescent="0.25">
      <c r="A2164"/>
    </row>
    <row r="2165" spans="1:1" ht="15" x14ac:dyDescent="0.25">
      <c r="A2165"/>
    </row>
    <row r="2166" spans="1:1" ht="15" x14ac:dyDescent="0.25">
      <c r="A2166"/>
    </row>
    <row r="2167" spans="1:1" ht="15" x14ac:dyDescent="0.25">
      <c r="A2167"/>
    </row>
    <row r="2168" spans="1:1" ht="15" x14ac:dyDescent="0.25">
      <c r="A2168"/>
    </row>
    <row r="2169" spans="1:1" ht="15" x14ac:dyDescent="0.25">
      <c r="A2169"/>
    </row>
    <row r="2170" spans="1:1" ht="15" x14ac:dyDescent="0.25">
      <c r="A2170"/>
    </row>
    <row r="2171" spans="1:1" ht="15" x14ac:dyDescent="0.25">
      <c r="A2171"/>
    </row>
    <row r="2172" spans="1:1" ht="15" x14ac:dyDescent="0.25">
      <c r="A2172"/>
    </row>
    <row r="2173" spans="1:1" ht="15" x14ac:dyDescent="0.25">
      <c r="A2173"/>
    </row>
    <row r="2174" spans="1:1" ht="15" x14ac:dyDescent="0.25">
      <c r="A2174"/>
    </row>
    <row r="2175" spans="1:1" ht="15" x14ac:dyDescent="0.25">
      <c r="A2175"/>
    </row>
    <row r="2176" spans="1:1" ht="15" x14ac:dyDescent="0.25">
      <c r="A2176"/>
    </row>
    <row r="2177" spans="1:1" ht="15" x14ac:dyDescent="0.25">
      <c r="A2177"/>
    </row>
    <row r="2178" spans="1:1" ht="15" x14ac:dyDescent="0.25">
      <c r="A2178"/>
    </row>
    <row r="2179" spans="1:1" ht="15" x14ac:dyDescent="0.25">
      <c r="A2179"/>
    </row>
    <row r="2180" spans="1:1" ht="15" x14ac:dyDescent="0.25">
      <c r="A2180"/>
    </row>
    <row r="2181" spans="1:1" ht="15" x14ac:dyDescent="0.25">
      <c r="A2181"/>
    </row>
    <row r="2182" spans="1:1" ht="15" x14ac:dyDescent="0.25">
      <c r="A2182"/>
    </row>
    <row r="2183" spans="1:1" ht="15" x14ac:dyDescent="0.25">
      <c r="A2183"/>
    </row>
    <row r="2184" spans="1:1" ht="15" x14ac:dyDescent="0.25">
      <c r="A2184"/>
    </row>
    <row r="2185" spans="1:1" ht="15" x14ac:dyDescent="0.25">
      <c r="A2185"/>
    </row>
    <row r="2186" spans="1:1" ht="15" x14ac:dyDescent="0.25">
      <c r="A2186"/>
    </row>
    <row r="2187" spans="1:1" ht="15" x14ac:dyDescent="0.25">
      <c r="A2187"/>
    </row>
    <row r="2188" spans="1:1" ht="15" x14ac:dyDescent="0.25">
      <c r="A2188"/>
    </row>
    <row r="2189" spans="1:1" ht="15" x14ac:dyDescent="0.25">
      <c r="A2189"/>
    </row>
    <row r="2190" spans="1:1" ht="15" x14ac:dyDescent="0.25">
      <c r="A2190"/>
    </row>
    <row r="2191" spans="1:1" ht="15" x14ac:dyDescent="0.25">
      <c r="A2191"/>
    </row>
    <row r="2192" spans="1:1" ht="15" x14ac:dyDescent="0.25">
      <c r="A2192"/>
    </row>
    <row r="2193" spans="1:1" ht="15" x14ac:dyDescent="0.25">
      <c r="A2193"/>
    </row>
    <row r="2194" spans="1:1" ht="15" x14ac:dyDescent="0.25">
      <c r="A2194"/>
    </row>
    <row r="2195" spans="1:1" ht="15" x14ac:dyDescent="0.25">
      <c r="A2195"/>
    </row>
    <row r="2196" spans="1:1" ht="15" x14ac:dyDescent="0.25">
      <c r="A2196"/>
    </row>
    <row r="2197" spans="1:1" ht="15" x14ac:dyDescent="0.25">
      <c r="A2197"/>
    </row>
    <row r="2198" spans="1:1" ht="15" x14ac:dyDescent="0.25">
      <c r="A2198"/>
    </row>
    <row r="2199" spans="1:1" ht="15" x14ac:dyDescent="0.25">
      <c r="A2199"/>
    </row>
    <row r="2200" spans="1:1" ht="15" x14ac:dyDescent="0.25">
      <c r="A2200"/>
    </row>
    <row r="2201" spans="1:1" ht="15" x14ac:dyDescent="0.25">
      <c r="A2201"/>
    </row>
    <row r="2202" spans="1:1" ht="15" x14ac:dyDescent="0.25">
      <c r="A2202"/>
    </row>
    <row r="2203" spans="1:1" ht="15" x14ac:dyDescent="0.25">
      <c r="A2203"/>
    </row>
    <row r="2204" spans="1:1" ht="15" x14ac:dyDescent="0.25">
      <c r="A2204"/>
    </row>
    <row r="2205" spans="1:1" ht="15" x14ac:dyDescent="0.25">
      <c r="A2205"/>
    </row>
    <row r="2206" spans="1:1" ht="15" x14ac:dyDescent="0.25">
      <c r="A2206"/>
    </row>
    <row r="2207" spans="1:1" ht="15" x14ac:dyDescent="0.25">
      <c r="A2207"/>
    </row>
    <row r="2208" spans="1:1" ht="15" x14ac:dyDescent="0.25">
      <c r="A2208"/>
    </row>
    <row r="2209" spans="1:1" ht="15" x14ac:dyDescent="0.25">
      <c r="A2209"/>
    </row>
    <row r="2210" spans="1:1" ht="15" x14ac:dyDescent="0.25">
      <c r="A2210"/>
    </row>
    <row r="2211" spans="1:1" ht="15" x14ac:dyDescent="0.25">
      <c r="A2211"/>
    </row>
    <row r="2212" spans="1:1" ht="15" x14ac:dyDescent="0.25">
      <c r="A2212"/>
    </row>
    <row r="2213" spans="1:1" ht="15" x14ac:dyDescent="0.25">
      <c r="A2213"/>
    </row>
    <row r="2214" spans="1:1" ht="15" x14ac:dyDescent="0.25">
      <c r="A2214"/>
    </row>
    <row r="2215" spans="1:1" ht="15" x14ac:dyDescent="0.25">
      <c r="A2215"/>
    </row>
    <row r="2216" spans="1:1" ht="15" x14ac:dyDescent="0.25">
      <c r="A2216"/>
    </row>
    <row r="2217" spans="1:1" ht="15" x14ac:dyDescent="0.25">
      <c r="A2217"/>
    </row>
    <row r="2218" spans="1:1" ht="15" x14ac:dyDescent="0.25">
      <c r="A2218"/>
    </row>
    <row r="2219" spans="1:1" ht="15" x14ac:dyDescent="0.25">
      <c r="A2219"/>
    </row>
    <row r="2220" spans="1:1" ht="15" x14ac:dyDescent="0.25">
      <c r="A2220"/>
    </row>
    <row r="2221" spans="1:1" ht="15" x14ac:dyDescent="0.25">
      <c r="A2221"/>
    </row>
    <row r="2222" spans="1:1" ht="15" x14ac:dyDescent="0.25">
      <c r="A2222"/>
    </row>
    <row r="2223" spans="1:1" ht="15" x14ac:dyDescent="0.25">
      <c r="A2223"/>
    </row>
    <row r="2224" spans="1:1" ht="15" x14ac:dyDescent="0.25">
      <c r="A2224"/>
    </row>
    <row r="2225" spans="1:1" ht="15" x14ac:dyDescent="0.25">
      <c r="A2225"/>
    </row>
    <row r="2226" spans="1:1" ht="15" x14ac:dyDescent="0.25">
      <c r="A2226"/>
    </row>
    <row r="2227" spans="1:1" ht="15" x14ac:dyDescent="0.25">
      <c r="A2227"/>
    </row>
    <row r="2228" spans="1:1" ht="15" x14ac:dyDescent="0.25">
      <c r="A2228"/>
    </row>
    <row r="2229" spans="1:1" ht="15" x14ac:dyDescent="0.25">
      <c r="A2229"/>
    </row>
    <row r="2230" spans="1:1" ht="15" x14ac:dyDescent="0.25">
      <c r="A2230"/>
    </row>
    <row r="2231" spans="1:1" ht="15" x14ac:dyDescent="0.25">
      <c r="A2231"/>
    </row>
    <row r="2232" spans="1:1" ht="15" x14ac:dyDescent="0.25">
      <c r="A2232"/>
    </row>
    <row r="2233" spans="1:1" ht="15" x14ac:dyDescent="0.25">
      <c r="A2233"/>
    </row>
    <row r="2234" spans="1:1" ht="15" x14ac:dyDescent="0.25">
      <c r="A2234"/>
    </row>
    <row r="2235" spans="1:1" ht="15" x14ac:dyDescent="0.25">
      <c r="A2235"/>
    </row>
    <row r="2236" spans="1:1" ht="15" x14ac:dyDescent="0.25">
      <c r="A2236"/>
    </row>
    <row r="2237" spans="1:1" ht="15" x14ac:dyDescent="0.25">
      <c r="A2237"/>
    </row>
    <row r="2238" spans="1:1" ht="15" x14ac:dyDescent="0.25">
      <c r="A2238"/>
    </row>
    <row r="2239" spans="1:1" ht="15" x14ac:dyDescent="0.25">
      <c r="A2239"/>
    </row>
    <row r="2240" spans="1:1" ht="15" x14ac:dyDescent="0.25">
      <c r="A2240"/>
    </row>
    <row r="2241" spans="1:1" ht="15" x14ac:dyDescent="0.25">
      <c r="A2241"/>
    </row>
    <row r="2242" spans="1:1" ht="15" x14ac:dyDescent="0.25">
      <c r="A2242"/>
    </row>
    <row r="2243" spans="1:1" ht="15" x14ac:dyDescent="0.25">
      <c r="A2243"/>
    </row>
    <row r="2244" spans="1:1" ht="15" x14ac:dyDescent="0.25">
      <c r="A2244"/>
    </row>
    <row r="2245" spans="1:1" ht="15" x14ac:dyDescent="0.25">
      <c r="A2245"/>
    </row>
    <row r="2246" spans="1:1" ht="15" x14ac:dyDescent="0.25">
      <c r="A2246"/>
    </row>
    <row r="2247" spans="1:1" ht="15" x14ac:dyDescent="0.25">
      <c r="A2247"/>
    </row>
    <row r="2248" spans="1:1" ht="15" x14ac:dyDescent="0.25">
      <c r="A2248"/>
    </row>
    <row r="2249" spans="1:1" ht="15" x14ac:dyDescent="0.25">
      <c r="A2249"/>
    </row>
    <row r="2250" spans="1:1" ht="15" x14ac:dyDescent="0.25">
      <c r="A2250"/>
    </row>
    <row r="2251" spans="1:1" ht="15" x14ac:dyDescent="0.25">
      <c r="A2251"/>
    </row>
    <row r="2252" spans="1:1" ht="15" x14ac:dyDescent="0.25">
      <c r="A2252"/>
    </row>
    <row r="2253" spans="1:1" ht="15" x14ac:dyDescent="0.25">
      <c r="A2253"/>
    </row>
    <row r="2254" spans="1:1" ht="15" x14ac:dyDescent="0.25">
      <c r="A2254"/>
    </row>
    <row r="2255" spans="1:1" ht="15" x14ac:dyDescent="0.25">
      <c r="A2255"/>
    </row>
    <row r="2256" spans="1:1" ht="15" x14ac:dyDescent="0.25">
      <c r="A2256"/>
    </row>
    <row r="2257" spans="1:1" ht="15" x14ac:dyDescent="0.25">
      <c r="A2257"/>
    </row>
    <row r="2258" spans="1:1" ht="15" x14ac:dyDescent="0.25">
      <c r="A2258"/>
    </row>
    <row r="2259" spans="1:1" ht="15" x14ac:dyDescent="0.25">
      <c r="A2259"/>
    </row>
    <row r="2260" spans="1:1" ht="15" x14ac:dyDescent="0.25">
      <c r="A2260"/>
    </row>
    <row r="2261" spans="1:1" ht="15" x14ac:dyDescent="0.25">
      <c r="A2261"/>
    </row>
    <row r="2262" spans="1:1" ht="15" x14ac:dyDescent="0.25">
      <c r="A2262"/>
    </row>
    <row r="2263" spans="1:1" ht="15" x14ac:dyDescent="0.25">
      <c r="A2263"/>
    </row>
    <row r="2264" spans="1:1" ht="15" x14ac:dyDescent="0.25">
      <c r="A2264"/>
    </row>
    <row r="2265" spans="1:1" ht="15" x14ac:dyDescent="0.25">
      <c r="A2265"/>
    </row>
    <row r="2266" spans="1:1" ht="15" x14ac:dyDescent="0.25">
      <c r="A2266"/>
    </row>
    <row r="2267" spans="1:1" ht="15" x14ac:dyDescent="0.25">
      <c r="A2267"/>
    </row>
    <row r="2268" spans="1:1" ht="15" x14ac:dyDescent="0.25">
      <c r="A2268"/>
    </row>
    <row r="2269" spans="1:1" ht="15" x14ac:dyDescent="0.25">
      <c r="A2269"/>
    </row>
    <row r="2270" spans="1:1" ht="15" x14ac:dyDescent="0.25">
      <c r="A2270"/>
    </row>
    <row r="2271" spans="1:1" ht="15" x14ac:dyDescent="0.25">
      <c r="A2271"/>
    </row>
    <row r="2272" spans="1:1" ht="15" x14ac:dyDescent="0.25">
      <c r="A2272"/>
    </row>
    <row r="2273" spans="1:1" ht="15" x14ac:dyDescent="0.25">
      <c r="A2273"/>
    </row>
    <row r="2274" spans="1:1" ht="15" x14ac:dyDescent="0.25">
      <c r="A2274"/>
    </row>
    <row r="2275" spans="1:1" ht="15" x14ac:dyDescent="0.25">
      <c r="A2275"/>
    </row>
    <row r="2276" spans="1:1" ht="15" x14ac:dyDescent="0.25">
      <c r="A2276"/>
    </row>
    <row r="2277" spans="1:1" ht="15" x14ac:dyDescent="0.25">
      <c r="A2277"/>
    </row>
    <row r="2278" spans="1:1" ht="15" x14ac:dyDescent="0.25">
      <c r="A2278"/>
    </row>
    <row r="2279" spans="1:1" ht="15" x14ac:dyDescent="0.25">
      <c r="A2279"/>
    </row>
    <row r="2280" spans="1:1" ht="15" x14ac:dyDescent="0.25">
      <c r="A2280"/>
    </row>
    <row r="2281" spans="1:1" ht="15" x14ac:dyDescent="0.25">
      <c r="A2281"/>
    </row>
    <row r="2282" spans="1:1" ht="15" x14ac:dyDescent="0.25">
      <c r="A2282"/>
    </row>
    <row r="2283" spans="1:1" ht="15" x14ac:dyDescent="0.25">
      <c r="A2283"/>
    </row>
    <row r="2284" spans="1:1" ht="15" x14ac:dyDescent="0.25">
      <c r="A2284"/>
    </row>
    <row r="2285" spans="1:1" ht="15" x14ac:dyDescent="0.25">
      <c r="A2285"/>
    </row>
    <row r="2286" spans="1:1" ht="15" x14ac:dyDescent="0.25">
      <c r="A2286"/>
    </row>
    <row r="2287" spans="1:1" ht="15" x14ac:dyDescent="0.25">
      <c r="A2287"/>
    </row>
    <row r="2288" spans="1:1" ht="15" x14ac:dyDescent="0.25">
      <c r="A2288"/>
    </row>
    <row r="2289" spans="1:1" ht="15" x14ac:dyDescent="0.25">
      <c r="A2289"/>
    </row>
    <row r="2290" spans="1:1" ht="15" x14ac:dyDescent="0.25">
      <c r="A2290"/>
    </row>
    <row r="2291" spans="1:1" ht="15" x14ac:dyDescent="0.25">
      <c r="A2291"/>
    </row>
    <row r="2292" spans="1:1" ht="15" x14ac:dyDescent="0.25">
      <c r="A2292"/>
    </row>
    <row r="2293" spans="1:1" ht="15" x14ac:dyDescent="0.25">
      <c r="A2293"/>
    </row>
    <row r="2294" spans="1:1" ht="15" x14ac:dyDescent="0.25">
      <c r="A2294"/>
    </row>
    <row r="2295" spans="1:1" ht="15" x14ac:dyDescent="0.25">
      <c r="A2295"/>
    </row>
    <row r="2296" spans="1:1" ht="15" x14ac:dyDescent="0.25">
      <c r="A2296"/>
    </row>
    <row r="2297" spans="1:1" ht="15" x14ac:dyDescent="0.25">
      <c r="A2297"/>
    </row>
    <row r="2298" spans="1:1" ht="15" x14ac:dyDescent="0.25">
      <c r="A2298"/>
    </row>
    <row r="2299" spans="1:1" ht="15" x14ac:dyDescent="0.25">
      <c r="A2299"/>
    </row>
    <row r="2300" spans="1:1" ht="15" x14ac:dyDescent="0.25">
      <c r="A2300"/>
    </row>
    <row r="2301" spans="1:1" ht="15" x14ac:dyDescent="0.25">
      <c r="A2301"/>
    </row>
    <row r="2302" spans="1:1" ht="15" x14ac:dyDescent="0.25">
      <c r="A2302"/>
    </row>
    <row r="2303" spans="1:1" ht="15" x14ac:dyDescent="0.25">
      <c r="A2303"/>
    </row>
    <row r="2304" spans="1:1" ht="15" x14ac:dyDescent="0.25">
      <c r="A2304"/>
    </row>
    <row r="2305" spans="1:1" ht="15" x14ac:dyDescent="0.25">
      <c r="A2305"/>
    </row>
    <row r="2306" spans="1:1" ht="15" x14ac:dyDescent="0.25">
      <c r="A2306"/>
    </row>
    <row r="2307" spans="1:1" ht="15" x14ac:dyDescent="0.25">
      <c r="A2307"/>
    </row>
    <row r="2308" spans="1:1" ht="15" x14ac:dyDescent="0.25">
      <c r="A2308"/>
    </row>
    <row r="2309" spans="1:1" ht="15" x14ac:dyDescent="0.25">
      <c r="A2309"/>
    </row>
    <row r="2310" spans="1:1" ht="15" x14ac:dyDescent="0.25">
      <c r="A2310"/>
    </row>
    <row r="2311" spans="1:1" ht="15" x14ac:dyDescent="0.25">
      <c r="A2311"/>
    </row>
    <row r="2312" spans="1:1" ht="15" x14ac:dyDescent="0.25">
      <c r="A2312"/>
    </row>
    <row r="2313" spans="1:1" ht="15" x14ac:dyDescent="0.25">
      <c r="A2313"/>
    </row>
    <row r="2314" spans="1:1" ht="15" x14ac:dyDescent="0.25">
      <c r="A2314"/>
    </row>
    <row r="2315" spans="1:1" ht="15" x14ac:dyDescent="0.25">
      <c r="A2315"/>
    </row>
    <row r="2316" spans="1:1" ht="15" x14ac:dyDescent="0.25">
      <c r="A2316"/>
    </row>
    <row r="2317" spans="1:1" ht="15" x14ac:dyDescent="0.25">
      <c r="A2317"/>
    </row>
    <row r="2318" spans="1:1" ht="15" x14ac:dyDescent="0.25">
      <c r="A2318"/>
    </row>
    <row r="2319" spans="1:1" ht="15" x14ac:dyDescent="0.25">
      <c r="A2319"/>
    </row>
    <row r="2320" spans="1:1" ht="15" x14ac:dyDescent="0.25">
      <c r="A2320"/>
    </row>
    <row r="2321" spans="1:1" ht="15" x14ac:dyDescent="0.25">
      <c r="A2321"/>
    </row>
    <row r="2322" spans="1:1" ht="15" x14ac:dyDescent="0.25">
      <c r="A2322"/>
    </row>
    <row r="2323" spans="1:1" ht="15" x14ac:dyDescent="0.25">
      <c r="A2323"/>
    </row>
    <row r="2324" spans="1:1" ht="15" x14ac:dyDescent="0.25">
      <c r="A2324"/>
    </row>
    <row r="2325" spans="1:1" ht="15" x14ac:dyDescent="0.25">
      <c r="A2325"/>
    </row>
    <row r="2326" spans="1:1" ht="15" x14ac:dyDescent="0.25">
      <c r="A2326"/>
    </row>
    <row r="2327" spans="1:1" ht="15" x14ac:dyDescent="0.25">
      <c r="A2327"/>
    </row>
    <row r="2328" spans="1:1" ht="15" x14ac:dyDescent="0.25">
      <c r="A2328"/>
    </row>
    <row r="2329" spans="1:1" ht="15" x14ac:dyDescent="0.25">
      <c r="A2329"/>
    </row>
    <row r="2330" spans="1:1" ht="15" x14ac:dyDescent="0.25">
      <c r="A2330"/>
    </row>
    <row r="2331" spans="1:1" ht="15" x14ac:dyDescent="0.25">
      <c r="A2331"/>
    </row>
    <row r="2332" spans="1:1" ht="15" x14ac:dyDescent="0.25">
      <c r="A2332"/>
    </row>
    <row r="2333" spans="1:1" ht="15" x14ac:dyDescent="0.25">
      <c r="A2333"/>
    </row>
    <row r="2334" spans="1:1" ht="15" x14ac:dyDescent="0.25">
      <c r="A2334"/>
    </row>
    <row r="2335" spans="1:1" ht="15" x14ac:dyDescent="0.25">
      <c r="A2335"/>
    </row>
    <row r="2336" spans="1:1" ht="15" x14ac:dyDescent="0.25">
      <c r="A2336"/>
    </row>
    <row r="2337" spans="1:1" ht="15" x14ac:dyDescent="0.25">
      <c r="A2337"/>
    </row>
    <row r="2338" spans="1:1" ht="15" x14ac:dyDescent="0.25">
      <c r="A2338"/>
    </row>
    <row r="2339" spans="1:1" ht="15" x14ac:dyDescent="0.25">
      <c r="A2339"/>
    </row>
    <row r="2340" spans="1:1" ht="15" x14ac:dyDescent="0.25">
      <c r="A2340"/>
    </row>
    <row r="2341" spans="1:1" ht="15" x14ac:dyDescent="0.25">
      <c r="A2341"/>
    </row>
    <row r="2342" spans="1:1" ht="15" x14ac:dyDescent="0.25">
      <c r="A2342"/>
    </row>
    <row r="2343" spans="1:1" ht="15" x14ac:dyDescent="0.25">
      <c r="A2343"/>
    </row>
    <row r="2344" spans="1:1" ht="15" x14ac:dyDescent="0.25">
      <c r="A2344"/>
    </row>
    <row r="2345" spans="1:1" ht="15" x14ac:dyDescent="0.25">
      <c r="A2345"/>
    </row>
    <row r="2346" spans="1:1" ht="15" x14ac:dyDescent="0.25">
      <c r="A2346"/>
    </row>
    <row r="2347" spans="1:1" ht="15" x14ac:dyDescent="0.25">
      <c r="A2347"/>
    </row>
    <row r="2348" spans="1:1" ht="15" x14ac:dyDescent="0.25">
      <c r="A2348"/>
    </row>
    <row r="2349" spans="1:1" ht="15" x14ac:dyDescent="0.25">
      <c r="A2349"/>
    </row>
    <row r="2350" spans="1:1" ht="15" x14ac:dyDescent="0.25">
      <c r="A2350"/>
    </row>
    <row r="2351" spans="1:1" ht="15" x14ac:dyDescent="0.25">
      <c r="A2351"/>
    </row>
    <row r="2352" spans="1:1" ht="15" x14ac:dyDescent="0.25">
      <c r="A2352"/>
    </row>
    <row r="2353" spans="1:1" ht="15" x14ac:dyDescent="0.25">
      <c r="A2353"/>
    </row>
    <row r="2354" spans="1:1" ht="15" x14ac:dyDescent="0.25">
      <c r="A2354"/>
    </row>
    <row r="2355" spans="1:1" ht="15" x14ac:dyDescent="0.25">
      <c r="A2355"/>
    </row>
    <row r="2356" spans="1:1" ht="15" x14ac:dyDescent="0.25">
      <c r="A2356"/>
    </row>
    <row r="2357" spans="1:1" ht="15" x14ac:dyDescent="0.25">
      <c r="A2357"/>
    </row>
    <row r="2358" spans="1:1" ht="15" x14ac:dyDescent="0.25">
      <c r="A2358"/>
    </row>
    <row r="2359" spans="1:1" ht="15" x14ac:dyDescent="0.25">
      <c r="A2359"/>
    </row>
    <row r="2360" spans="1:1" ht="15" x14ac:dyDescent="0.25">
      <c r="A2360"/>
    </row>
    <row r="2361" spans="1:1" ht="15" x14ac:dyDescent="0.25">
      <c r="A2361"/>
    </row>
    <row r="2362" spans="1:1" ht="15" x14ac:dyDescent="0.25">
      <c r="A2362"/>
    </row>
    <row r="2363" spans="1:1" ht="15" x14ac:dyDescent="0.25">
      <c r="A2363"/>
    </row>
    <row r="2364" spans="1:1" ht="15" x14ac:dyDescent="0.25">
      <c r="A2364"/>
    </row>
    <row r="2365" spans="1:1" ht="15" x14ac:dyDescent="0.25">
      <c r="A2365"/>
    </row>
    <row r="2366" spans="1:1" ht="15" x14ac:dyDescent="0.25">
      <c r="A2366"/>
    </row>
    <row r="2367" spans="1:1" ht="15" x14ac:dyDescent="0.25">
      <c r="A2367"/>
    </row>
    <row r="2368" spans="1:1" ht="15" x14ac:dyDescent="0.25">
      <c r="A2368"/>
    </row>
    <row r="2369" spans="1:1" ht="15" x14ac:dyDescent="0.25">
      <c r="A2369"/>
    </row>
    <row r="2370" spans="1:1" ht="15" x14ac:dyDescent="0.25">
      <c r="A2370"/>
    </row>
    <row r="2371" spans="1:1" ht="15" x14ac:dyDescent="0.25">
      <c r="A2371"/>
    </row>
    <row r="2372" spans="1:1" ht="15" x14ac:dyDescent="0.25">
      <c r="A2372"/>
    </row>
    <row r="2373" spans="1:1" ht="15" x14ac:dyDescent="0.25">
      <c r="A2373"/>
    </row>
    <row r="2374" spans="1:1" ht="15" x14ac:dyDescent="0.25">
      <c r="A2374"/>
    </row>
    <row r="2375" spans="1:1" ht="15" x14ac:dyDescent="0.25">
      <c r="A2375"/>
    </row>
    <row r="2376" spans="1:1" ht="15" x14ac:dyDescent="0.25">
      <c r="A2376"/>
    </row>
    <row r="2377" spans="1:1" ht="15" x14ac:dyDescent="0.25">
      <c r="A2377"/>
    </row>
    <row r="2378" spans="1:1" ht="15" x14ac:dyDescent="0.25">
      <c r="A2378"/>
    </row>
    <row r="2379" spans="1:1" ht="15" x14ac:dyDescent="0.25">
      <c r="A2379"/>
    </row>
    <row r="2380" spans="1:1" ht="15" x14ac:dyDescent="0.25">
      <c r="A2380"/>
    </row>
    <row r="2381" spans="1:1" ht="15" x14ac:dyDescent="0.25">
      <c r="A2381"/>
    </row>
    <row r="2382" spans="1:1" ht="15" x14ac:dyDescent="0.25">
      <c r="A2382"/>
    </row>
    <row r="2383" spans="1:1" ht="15" x14ac:dyDescent="0.25">
      <c r="A2383"/>
    </row>
    <row r="2384" spans="1:1" ht="15" x14ac:dyDescent="0.25">
      <c r="A2384"/>
    </row>
    <row r="2385" spans="1:1" ht="15" x14ac:dyDescent="0.25">
      <c r="A2385"/>
    </row>
    <row r="2386" spans="1:1" ht="15" x14ac:dyDescent="0.25">
      <c r="A2386"/>
    </row>
    <row r="2387" spans="1:1" ht="15" x14ac:dyDescent="0.25">
      <c r="A2387"/>
    </row>
    <row r="2388" spans="1:1" ht="15" x14ac:dyDescent="0.25">
      <c r="A2388"/>
    </row>
    <row r="2389" spans="1:1" ht="15" x14ac:dyDescent="0.25">
      <c r="A2389"/>
    </row>
    <row r="2390" spans="1:1" ht="15" x14ac:dyDescent="0.25">
      <c r="A2390"/>
    </row>
    <row r="2391" spans="1:1" ht="15" x14ac:dyDescent="0.25">
      <c r="A2391"/>
    </row>
    <row r="2392" spans="1:1" ht="15" x14ac:dyDescent="0.25">
      <c r="A2392"/>
    </row>
    <row r="2393" spans="1:1" ht="15" x14ac:dyDescent="0.25">
      <c r="A2393"/>
    </row>
    <row r="2394" spans="1:1" ht="15" x14ac:dyDescent="0.25">
      <c r="A2394"/>
    </row>
    <row r="2395" spans="1:1" ht="15" x14ac:dyDescent="0.25">
      <c r="A2395"/>
    </row>
    <row r="2396" spans="1:1" ht="15" x14ac:dyDescent="0.25">
      <c r="A2396"/>
    </row>
    <row r="2397" spans="1:1" ht="15" x14ac:dyDescent="0.25">
      <c r="A2397"/>
    </row>
    <row r="2398" spans="1:1" ht="15" x14ac:dyDescent="0.25">
      <c r="A2398"/>
    </row>
    <row r="2399" spans="1:1" ht="15" x14ac:dyDescent="0.25">
      <c r="A2399"/>
    </row>
    <row r="2400" spans="1:1" ht="15" x14ac:dyDescent="0.25">
      <c r="A2400"/>
    </row>
    <row r="2401" spans="1:1" ht="15" x14ac:dyDescent="0.25">
      <c r="A2401"/>
    </row>
    <row r="2402" spans="1:1" ht="15" x14ac:dyDescent="0.25">
      <c r="A2402"/>
    </row>
    <row r="2403" spans="1:1" ht="15" x14ac:dyDescent="0.25">
      <c r="A2403"/>
    </row>
    <row r="2404" spans="1:1" ht="15" x14ac:dyDescent="0.25">
      <c r="A2404"/>
    </row>
    <row r="2405" spans="1:1" ht="15" x14ac:dyDescent="0.25">
      <c r="A2405"/>
    </row>
    <row r="2406" spans="1:1" ht="15" x14ac:dyDescent="0.25">
      <c r="A2406"/>
    </row>
    <row r="2407" spans="1:1" ht="15" x14ac:dyDescent="0.25">
      <c r="A2407"/>
    </row>
    <row r="2408" spans="1:1" ht="15" x14ac:dyDescent="0.25">
      <c r="A2408"/>
    </row>
    <row r="2409" spans="1:1" ht="15" x14ac:dyDescent="0.25">
      <c r="A2409"/>
    </row>
    <row r="2410" spans="1:1" ht="15" x14ac:dyDescent="0.25">
      <c r="A2410"/>
    </row>
    <row r="2411" spans="1:1" ht="15" x14ac:dyDescent="0.25">
      <c r="A2411"/>
    </row>
    <row r="2412" spans="1:1" ht="15" x14ac:dyDescent="0.25">
      <c r="A2412"/>
    </row>
    <row r="2413" spans="1:1" ht="15" x14ac:dyDescent="0.25">
      <c r="A2413"/>
    </row>
    <row r="2414" spans="1:1" ht="15" x14ac:dyDescent="0.25">
      <c r="A2414"/>
    </row>
    <row r="2415" spans="1:1" ht="15" x14ac:dyDescent="0.25">
      <c r="A2415"/>
    </row>
    <row r="2416" spans="1:1" ht="15" x14ac:dyDescent="0.25">
      <c r="A2416"/>
    </row>
    <row r="2417" spans="1:1" ht="15" x14ac:dyDescent="0.25">
      <c r="A2417"/>
    </row>
    <row r="2418" spans="1:1" ht="15" x14ac:dyDescent="0.25">
      <c r="A2418"/>
    </row>
    <row r="2419" spans="1:1" ht="15" x14ac:dyDescent="0.25">
      <c r="A2419"/>
    </row>
    <row r="2420" spans="1:1" ht="15" x14ac:dyDescent="0.25">
      <c r="A2420"/>
    </row>
    <row r="2421" spans="1:1" ht="15" x14ac:dyDescent="0.25">
      <c r="A2421"/>
    </row>
    <row r="2422" spans="1:1" ht="15" x14ac:dyDescent="0.25">
      <c r="A2422"/>
    </row>
    <row r="2423" spans="1:1" ht="15" x14ac:dyDescent="0.25">
      <c r="A2423"/>
    </row>
    <row r="2424" spans="1:1" ht="15" x14ac:dyDescent="0.25">
      <c r="A2424"/>
    </row>
    <row r="2425" spans="1:1" ht="15" x14ac:dyDescent="0.25">
      <c r="A2425"/>
    </row>
    <row r="2426" spans="1:1" ht="15" x14ac:dyDescent="0.25">
      <c r="A2426"/>
    </row>
    <row r="2427" spans="1:1" ht="15" x14ac:dyDescent="0.25">
      <c r="A2427"/>
    </row>
    <row r="2428" spans="1:1" ht="15" x14ac:dyDescent="0.25">
      <c r="A2428"/>
    </row>
    <row r="2429" spans="1:1" ht="15" x14ac:dyDescent="0.25">
      <c r="A2429"/>
    </row>
    <row r="2430" spans="1:1" ht="15" x14ac:dyDescent="0.25">
      <c r="A2430"/>
    </row>
    <row r="2431" spans="1:1" ht="15" x14ac:dyDescent="0.25">
      <c r="A2431"/>
    </row>
    <row r="2432" spans="1:1" ht="15" x14ac:dyDescent="0.25">
      <c r="A2432"/>
    </row>
    <row r="2433" spans="1:1" ht="15" x14ac:dyDescent="0.25">
      <c r="A2433"/>
    </row>
    <row r="2434" spans="1:1" ht="15" x14ac:dyDescent="0.25">
      <c r="A2434"/>
    </row>
    <row r="2435" spans="1:1" ht="15" x14ac:dyDescent="0.25">
      <c r="A2435"/>
    </row>
    <row r="2436" spans="1:1" ht="15" x14ac:dyDescent="0.25">
      <c r="A2436"/>
    </row>
    <row r="2437" spans="1:1" ht="15" x14ac:dyDescent="0.25">
      <c r="A2437"/>
    </row>
    <row r="2438" spans="1:1" ht="15" x14ac:dyDescent="0.25">
      <c r="A2438"/>
    </row>
    <row r="2439" spans="1:1" ht="15" x14ac:dyDescent="0.25">
      <c r="A2439"/>
    </row>
    <row r="2440" spans="1:1" ht="15" x14ac:dyDescent="0.25">
      <c r="A2440"/>
    </row>
    <row r="2441" spans="1:1" ht="15" x14ac:dyDescent="0.25">
      <c r="A2441"/>
    </row>
    <row r="2442" spans="1:1" ht="15" x14ac:dyDescent="0.25">
      <c r="A2442"/>
    </row>
    <row r="2443" spans="1:1" ht="15" x14ac:dyDescent="0.25">
      <c r="A2443"/>
    </row>
    <row r="2444" spans="1:1" ht="15" x14ac:dyDescent="0.25">
      <c r="A2444"/>
    </row>
    <row r="2445" spans="1:1" ht="15" x14ac:dyDescent="0.25">
      <c r="A2445"/>
    </row>
    <row r="2446" spans="1:1" ht="15" x14ac:dyDescent="0.25">
      <c r="A2446"/>
    </row>
    <row r="2447" spans="1:1" ht="15" x14ac:dyDescent="0.25">
      <c r="A2447"/>
    </row>
    <row r="2448" spans="1:1" ht="15" x14ac:dyDescent="0.25">
      <c r="A2448"/>
    </row>
    <row r="2449" spans="1:1" ht="15" x14ac:dyDescent="0.25">
      <c r="A2449"/>
    </row>
    <row r="2450" spans="1:1" ht="15" x14ac:dyDescent="0.25">
      <c r="A2450"/>
    </row>
    <row r="2451" spans="1:1" ht="15" x14ac:dyDescent="0.25">
      <c r="A2451"/>
    </row>
    <row r="2452" spans="1:1" ht="15" x14ac:dyDescent="0.25">
      <c r="A2452"/>
    </row>
    <row r="2453" spans="1:1" ht="15" x14ac:dyDescent="0.25">
      <c r="A2453"/>
    </row>
    <row r="2454" spans="1:1" ht="15" x14ac:dyDescent="0.25">
      <c r="A2454"/>
    </row>
    <row r="2455" spans="1:1" ht="15" x14ac:dyDescent="0.25">
      <c r="A2455"/>
    </row>
    <row r="2456" spans="1:1" ht="15" x14ac:dyDescent="0.25">
      <c r="A2456"/>
    </row>
    <row r="2457" spans="1:1" ht="15" x14ac:dyDescent="0.25">
      <c r="A2457"/>
    </row>
    <row r="2458" spans="1:1" ht="15" x14ac:dyDescent="0.25">
      <c r="A2458"/>
    </row>
    <row r="2459" spans="1:1" ht="15" x14ac:dyDescent="0.25">
      <c r="A2459"/>
    </row>
    <row r="2460" spans="1:1" ht="15" x14ac:dyDescent="0.25">
      <c r="A2460"/>
    </row>
    <row r="2461" spans="1:1" ht="15" x14ac:dyDescent="0.25">
      <c r="A2461"/>
    </row>
    <row r="2462" spans="1:1" ht="15" x14ac:dyDescent="0.25">
      <c r="A2462"/>
    </row>
    <row r="2463" spans="1:1" ht="15" x14ac:dyDescent="0.25">
      <c r="A2463"/>
    </row>
    <row r="2464" spans="1:1" ht="15" x14ac:dyDescent="0.25">
      <c r="A2464"/>
    </row>
    <row r="2465" spans="1:1" ht="15" x14ac:dyDescent="0.25">
      <c r="A2465"/>
    </row>
    <row r="2466" spans="1:1" ht="15" x14ac:dyDescent="0.25">
      <c r="A2466"/>
    </row>
    <row r="2467" spans="1:1" ht="15" x14ac:dyDescent="0.25">
      <c r="A2467"/>
    </row>
    <row r="2468" spans="1:1" ht="15" x14ac:dyDescent="0.25">
      <c r="A2468"/>
    </row>
    <row r="2469" spans="1:1" ht="15" x14ac:dyDescent="0.25">
      <c r="A2469"/>
    </row>
    <row r="2470" spans="1:1" ht="15" x14ac:dyDescent="0.25">
      <c r="A2470"/>
    </row>
    <row r="2471" spans="1:1" ht="15" x14ac:dyDescent="0.25">
      <c r="A2471"/>
    </row>
    <row r="2472" spans="1:1" ht="15" x14ac:dyDescent="0.25">
      <c r="A2472"/>
    </row>
    <row r="2473" spans="1:1" ht="15" x14ac:dyDescent="0.25">
      <c r="A2473"/>
    </row>
    <row r="2474" spans="1:1" ht="15" x14ac:dyDescent="0.25">
      <c r="A2474"/>
    </row>
    <row r="2475" spans="1:1" ht="15" x14ac:dyDescent="0.25">
      <c r="A2475"/>
    </row>
    <row r="2476" spans="1:1" ht="15" x14ac:dyDescent="0.25">
      <c r="A2476"/>
    </row>
    <row r="2477" spans="1:1" ht="15" x14ac:dyDescent="0.25">
      <c r="A2477"/>
    </row>
    <row r="2478" spans="1:1" ht="15" x14ac:dyDescent="0.25">
      <c r="A2478"/>
    </row>
    <row r="2479" spans="1:1" ht="15" x14ac:dyDescent="0.25">
      <c r="A2479"/>
    </row>
    <row r="2480" spans="1:1" ht="15" x14ac:dyDescent="0.25">
      <c r="A2480"/>
    </row>
    <row r="2481" spans="1:1" ht="15" x14ac:dyDescent="0.25">
      <c r="A2481"/>
    </row>
    <row r="2482" spans="1:1" ht="15" x14ac:dyDescent="0.25">
      <c r="A2482"/>
    </row>
    <row r="2483" spans="1:1" ht="15" x14ac:dyDescent="0.25">
      <c r="A2483"/>
    </row>
    <row r="2484" spans="1:1" ht="15" x14ac:dyDescent="0.25">
      <c r="A2484"/>
    </row>
    <row r="2485" spans="1:1" ht="15" x14ac:dyDescent="0.25">
      <c r="A2485"/>
    </row>
    <row r="2486" spans="1:1" ht="15" x14ac:dyDescent="0.25">
      <c r="A2486"/>
    </row>
    <row r="2487" spans="1:1" ht="15" x14ac:dyDescent="0.25">
      <c r="A2487"/>
    </row>
    <row r="2488" spans="1:1" ht="15" x14ac:dyDescent="0.25">
      <c r="A2488"/>
    </row>
    <row r="2489" spans="1:1" ht="15" x14ac:dyDescent="0.25">
      <c r="A2489"/>
    </row>
    <row r="2490" spans="1:1" ht="15" x14ac:dyDescent="0.25">
      <c r="A2490"/>
    </row>
    <row r="2491" spans="1:1" ht="15" x14ac:dyDescent="0.25">
      <c r="A2491"/>
    </row>
    <row r="2492" spans="1:1" ht="15" x14ac:dyDescent="0.25">
      <c r="A2492"/>
    </row>
    <row r="2493" spans="1:1" ht="15" x14ac:dyDescent="0.25">
      <c r="A2493"/>
    </row>
    <row r="2494" spans="1:1" ht="15" x14ac:dyDescent="0.25">
      <c r="A2494"/>
    </row>
    <row r="2495" spans="1:1" ht="15" x14ac:dyDescent="0.25">
      <c r="A2495"/>
    </row>
    <row r="2496" spans="1:1" ht="15" x14ac:dyDescent="0.25">
      <c r="A2496"/>
    </row>
    <row r="2497" spans="1:1" ht="15" x14ac:dyDescent="0.25">
      <c r="A2497"/>
    </row>
    <row r="2498" spans="1:1" ht="15" x14ac:dyDescent="0.25">
      <c r="A2498"/>
    </row>
    <row r="2499" spans="1:1" ht="15" x14ac:dyDescent="0.25">
      <c r="A2499"/>
    </row>
    <row r="2500" spans="1:1" ht="15" x14ac:dyDescent="0.25">
      <c r="A2500"/>
    </row>
    <row r="2501" spans="1:1" ht="15" x14ac:dyDescent="0.25">
      <c r="A2501"/>
    </row>
    <row r="2502" spans="1:1" ht="15" x14ac:dyDescent="0.25">
      <c r="A2502"/>
    </row>
    <row r="2503" spans="1:1" ht="15" x14ac:dyDescent="0.25">
      <c r="A2503"/>
    </row>
    <row r="2504" spans="1:1" ht="15" x14ac:dyDescent="0.25">
      <c r="A2504"/>
    </row>
    <row r="2505" spans="1:1" ht="15" x14ac:dyDescent="0.25">
      <c r="A2505"/>
    </row>
    <row r="2506" spans="1:1" ht="15" x14ac:dyDescent="0.25">
      <c r="A2506"/>
    </row>
    <row r="2507" spans="1:1" ht="15" x14ac:dyDescent="0.25">
      <c r="A2507"/>
    </row>
    <row r="2508" spans="1:1" ht="15" x14ac:dyDescent="0.25">
      <c r="A2508"/>
    </row>
    <row r="2509" spans="1:1" ht="15" x14ac:dyDescent="0.25">
      <c r="A2509"/>
    </row>
    <row r="2510" spans="1:1" ht="15" x14ac:dyDescent="0.25">
      <c r="A2510"/>
    </row>
    <row r="2511" spans="1:1" ht="15" x14ac:dyDescent="0.25">
      <c r="A2511"/>
    </row>
    <row r="2512" spans="1:1" ht="15" x14ac:dyDescent="0.25">
      <c r="A2512"/>
    </row>
    <row r="2513" spans="1:1" ht="15" x14ac:dyDescent="0.25">
      <c r="A2513"/>
    </row>
    <row r="2514" spans="1:1" ht="15" x14ac:dyDescent="0.25">
      <c r="A2514"/>
    </row>
    <row r="2515" spans="1:1" ht="15" x14ac:dyDescent="0.25">
      <c r="A2515"/>
    </row>
    <row r="2516" spans="1:1" ht="15" x14ac:dyDescent="0.25">
      <c r="A2516"/>
    </row>
    <row r="2517" spans="1:1" ht="15" x14ac:dyDescent="0.25">
      <c r="A2517"/>
    </row>
    <row r="2518" spans="1:1" ht="15" x14ac:dyDescent="0.25">
      <c r="A2518"/>
    </row>
    <row r="2519" spans="1:1" ht="15" x14ac:dyDescent="0.25">
      <c r="A2519"/>
    </row>
    <row r="2520" spans="1:1" ht="15" x14ac:dyDescent="0.25">
      <c r="A2520"/>
    </row>
    <row r="2521" spans="1:1" ht="15" x14ac:dyDescent="0.25">
      <c r="A2521"/>
    </row>
    <row r="2522" spans="1:1" ht="15" x14ac:dyDescent="0.25">
      <c r="A2522"/>
    </row>
    <row r="2523" spans="1:1" ht="15" x14ac:dyDescent="0.25">
      <c r="A2523"/>
    </row>
    <row r="2524" spans="1:1" ht="15" x14ac:dyDescent="0.25">
      <c r="A2524"/>
    </row>
    <row r="2525" spans="1:1" ht="15" x14ac:dyDescent="0.25">
      <c r="A2525"/>
    </row>
    <row r="2526" spans="1:1" ht="15" x14ac:dyDescent="0.25">
      <c r="A2526"/>
    </row>
    <row r="2527" spans="1:1" ht="15" x14ac:dyDescent="0.25">
      <c r="A2527"/>
    </row>
    <row r="2528" spans="1:1" ht="15" x14ac:dyDescent="0.25">
      <c r="A2528"/>
    </row>
    <row r="2529" spans="1:1" ht="15" x14ac:dyDescent="0.25">
      <c r="A2529"/>
    </row>
    <row r="2530" spans="1:1" ht="15" x14ac:dyDescent="0.25">
      <c r="A2530"/>
    </row>
    <row r="2531" spans="1:1" ht="15" x14ac:dyDescent="0.25">
      <c r="A2531"/>
    </row>
    <row r="2532" spans="1:1" ht="15" x14ac:dyDescent="0.25">
      <c r="A2532"/>
    </row>
    <row r="2533" spans="1:1" ht="15" x14ac:dyDescent="0.25">
      <c r="A2533"/>
    </row>
    <row r="2534" spans="1:1" ht="15" x14ac:dyDescent="0.25">
      <c r="A2534"/>
    </row>
    <row r="2535" spans="1:1" ht="15" x14ac:dyDescent="0.25">
      <c r="A2535"/>
    </row>
    <row r="2536" spans="1:1" ht="15" x14ac:dyDescent="0.25">
      <c r="A2536"/>
    </row>
    <row r="2537" spans="1:1" ht="15" x14ac:dyDescent="0.25">
      <c r="A2537"/>
    </row>
    <row r="2538" spans="1:1" ht="15" x14ac:dyDescent="0.25">
      <c r="A2538"/>
    </row>
    <row r="2539" spans="1:1" ht="15" x14ac:dyDescent="0.25">
      <c r="A2539"/>
    </row>
    <row r="2540" spans="1:1" ht="15" x14ac:dyDescent="0.25">
      <c r="A2540"/>
    </row>
    <row r="2541" spans="1:1" ht="15" x14ac:dyDescent="0.25">
      <c r="A2541"/>
    </row>
    <row r="2542" spans="1:1" ht="15" x14ac:dyDescent="0.25">
      <c r="A2542"/>
    </row>
    <row r="2543" spans="1:1" ht="15" x14ac:dyDescent="0.25">
      <c r="A2543"/>
    </row>
    <row r="2544" spans="1:1" ht="15" x14ac:dyDescent="0.25">
      <c r="A2544"/>
    </row>
    <row r="2545" spans="1:1" ht="15" x14ac:dyDescent="0.25">
      <c r="A2545"/>
    </row>
    <row r="2546" spans="1:1" ht="15" x14ac:dyDescent="0.25">
      <c r="A2546"/>
    </row>
    <row r="2547" spans="1:1" ht="15" x14ac:dyDescent="0.25">
      <c r="A2547"/>
    </row>
    <row r="2548" spans="1:1" ht="15" x14ac:dyDescent="0.25">
      <c r="A2548"/>
    </row>
    <row r="2549" spans="1:1" ht="15" x14ac:dyDescent="0.25">
      <c r="A2549"/>
    </row>
    <row r="2550" spans="1:1" ht="15" x14ac:dyDescent="0.25">
      <c r="A2550"/>
    </row>
    <row r="2551" spans="1:1" ht="15" x14ac:dyDescent="0.25">
      <c r="A2551"/>
    </row>
    <row r="2552" spans="1:1" ht="15" x14ac:dyDescent="0.25">
      <c r="A2552"/>
    </row>
    <row r="2553" spans="1:1" ht="15" x14ac:dyDescent="0.25">
      <c r="A2553"/>
    </row>
    <row r="2554" spans="1:1" ht="15" x14ac:dyDescent="0.25">
      <c r="A2554"/>
    </row>
    <row r="2555" spans="1:1" ht="15" x14ac:dyDescent="0.25">
      <c r="A2555"/>
    </row>
    <row r="2556" spans="1:1" ht="15" x14ac:dyDescent="0.25">
      <c r="A2556"/>
    </row>
    <row r="2557" spans="1:1" ht="15" x14ac:dyDescent="0.25">
      <c r="A2557"/>
    </row>
    <row r="2558" spans="1:1" ht="15" x14ac:dyDescent="0.25">
      <c r="A2558"/>
    </row>
    <row r="2559" spans="1:1" ht="15" x14ac:dyDescent="0.25">
      <c r="A2559"/>
    </row>
    <row r="2560" spans="1:1" ht="15" x14ac:dyDescent="0.25">
      <c r="A2560"/>
    </row>
    <row r="2561" spans="1:1" ht="15" x14ac:dyDescent="0.25">
      <c r="A2561"/>
    </row>
    <row r="2562" spans="1:1" ht="15" x14ac:dyDescent="0.25">
      <c r="A2562"/>
    </row>
    <row r="2563" spans="1:1" ht="15" x14ac:dyDescent="0.25">
      <c r="A2563"/>
    </row>
    <row r="2564" spans="1:1" ht="15" x14ac:dyDescent="0.25">
      <c r="A2564"/>
    </row>
    <row r="2565" spans="1:1" ht="15" x14ac:dyDescent="0.25">
      <c r="A2565"/>
    </row>
    <row r="2566" spans="1:1" ht="15" x14ac:dyDescent="0.25">
      <c r="A2566"/>
    </row>
    <row r="2567" spans="1:1" ht="15" x14ac:dyDescent="0.25">
      <c r="A2567"/>
    </row>
    <row r="2568" spans="1:1" ht="15" x14ac:dyDescent="0.25">
      <c r="A2568"/>
    </row>
    <row r="2569" spans="1:1" ht="15" x14ac:dyDescent="0.25">
      <c r="A2569"/>
    </row>
    <row r="2570" spans="1:1" ht="15" x14ac:dyDescent="0.25">
      <c r="A2570"/>
    </row>
    <row r="2571" spans="1:1" ht="15" x14ac:dyDescent="0.25">
      <c r="A2571"/>
    </row>
    <row r="2572" spans="1:1" ht="15" x14ac:dyDescent="0.25">
      <c r="A2572"/>
    </row>
    <row r="2573" spans="1:1" ht="15" x14ac:dyDescent="0.25">
      <c r="A2573"/>
    </row>
    <row r="2574" spans="1:1" ht="15" x14ac:dyDescent="0.25">
      <c r="A2574"/>
    </row>
    <row r="2575" spans="1:1" ht="15" x14ac:dyDescent="0.25">
      <c r="A2575"/>
    </row>
    <row r="2576" spans="1:1" ht="15" x14ac:dyDescent="0.25">
      <c r="A2576"/>
    </row>
    <row r="2577" spans="1:1" ht="15" x14ac:dyDescent="0.25">
      <c r="A2577"/>
    </row>
    <row r="2578" spans="1:1" ht="15" x14ac:dyDescent="0.25">
      <c r="A2578"/>
    </row>
    <row r="2579" spans="1:1" ht="15" x14ac:dyDescent="0.25">
      <c r="A2579"/>
    </row>
    <row r="2580" spans="1:1" ht="15" x14ac:dyDescent="0.25">
      <c r="A2580"/>
    </row>
    <row r="2581" spans="1:1" ht="15" x14ac:dyDescent="0.25">
      <c r="A2581"/>
    </row>
    <row r="2582" spans="1:1" ht="15" x14ac:dyDescent="0.25">
      <c r="A2582"/>
    </row>
    <row r="2583" spans="1:1" ht="15" x14ac:dyDescent="0.25">
      <c r="A2583"/>
    </row>
    <row r="2584" spans="1:1" ht="15" x14ac:dyDescent="0.25">
      <c r="A2584"/>
    </row>
    <row r="2585" spans="1:1" ht="15" x14ac:dyDescent="0.25">
      <c r="A2585"/>
    </row>
    <row r="2586" spans="1:1" ht="15" x14ac:dyDescent="0.25">
      <c r="A2586"/>
    </row>
    <row r="2587" spans="1:1" ht="15" x14ac:dyDescent="0.25">
      <c r="A2587"/>
    </row>
    <row r="2588" spans="1:1" ht="15" x14ac:dyDescent="0.25">
      <c r="A2588"/>
    </row>
    <row r="2589" spans="1:1" ht="15" x14ac:dyDescent="0.25">
      <c r="A2589"/>
    </row>
    <row r="2590" spans="1:1" ht="15" x14ac:dyDescent="0.25">
      <c r="A2590"/>
    </row>
    <row r="2591" spans="1:1" ht="15" x14ac:dyDescent="0.25">
      <c r="A2591"/>
    </row>
    <row r="2592" spans="1:1" ht="15" x14ac:dyDescent="0.25">
      <c r="A2592"/>
    </row>
    <row r="2593" spans="1:1" ht="15" x14ac:dyDescent="0.25">
      <c r="A2593"/>
    </row>
    <row r="2594" spans="1:1" ht="15" x14ac:dyDescent="0.25">
      <c r="A2594"/>
    </row>
    <row r="2595" spans="1:1" ht="15" x14ac:dyDescent="0.25">
      <c r="A2595"/>
    </row>
    <row r="2596" spans="1:1" ht="15" x14ac:dyDescent="0.25">
      <c r="A2596"/>
    </row>
    <row r="2597" spans="1:1" ht="15" x14ac:dyDescent="0.25">
      <c r="A2597"/>
    </row>
    <row r="2598" spans="1:1" ht="15" x14ac:dyDescent="0.25">
      <c r="A2598"/>
    </row>
    <row r="2599" spans="1:1" ht="15" x14ac:dyDescent="0.25">
      <c r="A2599"/>
    </row>
    <row r="2600" spans="1:1" ht="15" x14ac:dyDescent="0.25">
      <c r="A2600"/>
    </row>
    <row r="2601" spans="1:1" ht="15" x14ac:dyDescent="0.25">
      <c r="A2601"/>
    </row>
    <row r="2602" spans="1:1" ht="15" x14ac:dyDescent="0.25">
      <c r="A2602"/>
    </row>
    <row r="2603" spans="1:1" ht="15" x14ac:dyDescent="0.25">
      <c r="A2603"/>
    </row>
    <row r="2604" spans="1:1" ht="15" x14ac:dyDescent="0.25">
      <c r="A2604"/>
    </row>
    <row r="2605" spans="1:1" ht="15" x14ac:dyDescent="0.25">
      <c r="A2605"/>
    </row>
    <row r="2606" spans="1:1" ht="15" x14ac:dyDescent="0.25">
      <c r="A2606"/>
    </row>
    <row r="2607" spans="1:1" ht="15" x14ac:dyDescent="0.25">
      <c r="A2607"/>
    </row>
    <row r="2608" spans="1:1" ht="15" x14ac:dyDescent="0.25">
      <c r="A2608"/>
    </row>
    <row r="2609" spans="1:1" ht="15" x14ac:dyDescent="0.25">
      <c r="A2609"/>
    </row>
    <row r="2610" spans="1:1" ht="15" x14ac:dyDescent="0.25">
      <c r="A2610"/>
    </row>
    <row r="2611" spans="1:1" ht="15" x14ac:dyDescent="0.25">
      <c r="A2611"/>
    </row>
    <row r="2612" spans="1:1" ht="15" x14ac:dyDescent="0.25">
      <c r="A2612"/>
    </row>
    <row r="2613" spans="1:1" ht="15" x14ac:dyDescent="0.25">
      <c r="A2613"/>
    </row>
    <row r="2614" spans="1:1" ht="15" x14ac:dyDescent="0.25">
      <c r="A2614"/>
    </row>
    <row r="2615" spans="1:1" ht="15" x14ac:dyDescent="0.25">
      <c r="A2615"/>
    </row>
    <row r="2616" spans="1:1" ht="15" x14ac:dyDescent="0.25">
      <c r="A2616"/>
    </row>
    <row r="2617" spans="1:1" ht="15" x14ac:dyDescent="0.25">
      <c r="A2617"/>
    </row>
    <row r="2618" spans="1:1" ht="15" x14ac:dyDescent="0.25">
      <c r="A2618"/>
    </row>
    <row r="2619" spans="1:1" ht="15" x14ac:dyDescent="0.25">
      <c r="A2619"/>
    </row>
    <row r="2620" spans="1:1" ht="15" x14ac:dyDescent="0.25">
      <c r="A2620"/>
    </row>
    <row r="2621" spans="1:1" ht="15" x14ac:dyDescent="0.25">
      <c r="A2621"/>
    </row>
    <row r="2622" spans="1:1" ht="15" x14ac:dyDescent="0.25">
      <c r="A2622"/>
    </row>
    <row r="2623" spans="1:1" ht="15" x14ac:dyDescent="0.25">
      <c r="A2623"/>
    </row>
    <row r="2624" spans="1:1" ht="15" x14ac:dyDescent="0.25">
      <c r="A2624"/>
    </row>
    <row r="2625" spans="1:1" ht="15" x14ac:dyDescent="0.25">
      <c r="A2625"/>
    </row>
    <row r="2626" spans="1:1" ht="15" x14ac:dyDescent="0.25">
      <c r="A2626"/>
    </row>
    <row r="2627" spans="1:1" ht="15" x14ac:dyDescent="0.25">
      <c r="A2627"/>
    </row>
    <row r="2628" spans="1:1" ht="15" x14ac:dyDescent="0.25">
      <c r="A2628"/>
    </row>
    <row r="2629" spans="1:1" ht="15" x14ac:dyDescent="0.25">
      <c r="A2629"/>
    </row>
    <row r="2630" spans="1:1" ht="15" x14ac:dyDescent="0.25">
      <c r="A2630"/>
    </row>
    <row r="2631" spans="1:1" ht="15" x14ac:dyDescent="0.25">
      <c r="A2631"/>
    </row>
    <row r="2632" spans="1:1" ht="15" x14ac:dyDescent="0.25">
      <c r="A2632"/>
    </row>
    <row r="2633" spans="1:1" ht="15" x14ac:dyDescent="0.25">
      <c r="A2633"/>
    </row>
    <row r="2634" spans="1:1" ht="15" x14ac:dyDescent="0.25">
      <c r="A2634"/>
    </row>
    <row r="2635" spans="1:1" ht="15" x14ac:dyDescent="0.25">
      <c r="A2635"/>
    </row>
    <row r="2636" spans="1:1" ht="15" x14ac:dyDescent="0.25">
      <c r="A2636"/>
    </row>
    <row r="2637" spans="1:1" ht="15" x14ac:dyDescent="0.25">
      <c r="A2637"/>
    </row>
    <row r="2638" spans="1:1" ht="15" x14ac:dyDescent="0.25">
      <c r="A2638"/>
    </row>
    <row r="2639" spans="1:1" ht="15" x14ac:dyDescent="0.25">
      <c r="A2639"/>
    </row>
    <row r="2640" spans="1:1" ht="15" x14ac:dyDescent="0.25">
      <c r="A2640"/>
    </row>
    <row r="2641" spans="1:1" ht="15" x14ac:dyDescent="0.25">
      <c r="A2641"/>
    </row>
    <row r="2642" spans="1:1" ht="15" x14ac:dyDescent="0.25">
      <c r="A2642"/>
    </row>
    <row r="2643" spans="1:1" ht="15" x14ac:dyDescent="0.25">
      <c r="A2643"/>
    </row>
    <row r="2644" spans="1:1" ht="15" x14ac:dyDescent="0.25">
      <c r="A2644"/>
    </row>
    <row r="2645" spans="1:1" ht="15" x14ac:dyDescent="0.25">
      <c r="A2645"/>
    </row>
    <row r="2646" spans="1:1" ht="15" x14ac:dyDescent="0.25">
      <c r="A2646"/>
    </row>
    <row r="2647" spans="1:1" ht="15" x14ac:dyDescent="0.25">
      <c r="A2647"/>
    </row>
    <row r="2648" spans="1:1" ht="15" x14ac:dyDescent="0.25">
      <c r="A2648"/>
    </row>
    <row r="2649" spans="1:1" ht="15" x14ac:dyDescent="0.25">
      <c r="A2649"/>
    </row>
    <row r="2650" spans="1:1" ht="15" x14ac:dyDescent="0.25">
      <c r="A2650"/>
    </row>
    <row r="2651" spans="1:1" ht="15" x14ac:dyDescent="0.25">
      <c r="A2651"/>
    </row>
    <row r="2652" spans="1:1" ht="15" x14ac:dyDescent="0.25">
      <c r="A2652"/>
    </row>
    <row r="2653" spans="1:1" ht="15" x14ac:dyDescent="0.25">
      <c r="A2653"/>
    </row>
    <row r="2654" spans="1:1" ht="15" x14ac:dyDescent="0.25">
      <c r="A2654"/>
    </row>
    <row r="2655" spans="1:1" ht="15" x14ac:dyDescent="0.25">
      <c r="A2655"/>
    </row>
    <row r="2656" spans="1:1" ht="15" x14ac:dyDescent="0.25">
      <c r="A2656"/>
    </row>
    <row r="2657" spans="1:1" ht="15" x14ac:dyDescent="0.25">
      <c r="A2657"/>
    </row>
    <row r="2658" spans="1:1" ht="15" x14ac:dyDescent="0.25">
      <c r="A2658"/>
    </row>
    <row r="2659" spans="1:1" ht="15" x14ac:dyDescent="0.25">
      <c r="A2659"/>
    </row>
    <row r="2660" spans="1:1" ht="15" x14ac:dyDescent="0.25">
      <c r="A2660"/>
    </row>
    <row r="2661" spans="1:1" ht="15" x14ac:dyDescent="0.25">
      <c r="A2661"/>
    </row>
    <row r="2662" spans="1:1" ht="15" x14ac:dyDescent="0.25">
      <c r="A2662"/>
    </row>
    <row r="2663" spans="1:1" ht="15" x14ac:dyDescent="0.25">
      <c r="A2663"/>
    </row>
    <row r="2664" spans="1:1" ht="15" x14ac:dyDescent="0.25">
      <c r="A2664"/>
    </row>
    <row r="2665" spans="1:1" ht="15" x14ac:dyDescent="0.25">
      <c r="A2665"/>
    </row>
    <row r="2666" spans="1:1" ht="15" x14ac:dyDescent="0.25">
      <c r="A2666"/>
    </row>
    <row r="2667" spans="1:1" ht="15" x14ac:dyDescent="0.25">
      <c r="A2667"/>
    </row>
    <row r="2668" spans="1:1" ht="15" x14ac:dyDescent="0.25">
      <c r="A2668"/>
    </row>
    <row r="2669" spans="1:1" ht="15" x14ac:dyDescent="0.25">
      <c r="A2669"/>
    </row>
    <row r="2670" spans="1:1" ht="15" x14ac:dyDescent="0.25">
      <c r="A2670"/>
    </row>
    <row r="2671" spans="1:1" ht="15" x14ac:dyDescent="0.25">
      <c r="A2671"/>
    </row>
    <row r="2672" spans="1:1" ht="15" x14ac:dyDescent="0.25">
      <c r="A2672"/>
    </row>
    <row r="2673" spans="1:1" ht="15" x14ac:dyDescent="0.25">
      <c r="A2673"/>
    </row>
    <row r="2674" spans="1:1" ht="15" x14ac:dyDescent="0.25">
      <c r="A2674"/>
    </row>
    <row r="2675" spans="1:1" ht="15" x14ac:dyDescent="0.25">
      <c r="A2675"/>
    </row>
    <row r="2676" spans="1:1" ht="15" x14ac:dyDescent="0.25">
      <c r="A2676"/>
    </row>
    <row r="2677" spans="1:1" ht="15" x14ac:dyDescent="0.25">
      <c r="A2677"/>
    </row>
    <row r="2678" spans="1:1" ht="15" x14ac:dyDescent="0.25">
      <c r="A2678"/>
    </row>
    <row r="2679" spans="1:1" ht="15" x14ac:dyDescent="0.25">
      <c r="A2679"/>
    </row>
    <row r="2680" spans="1:1" ht="15" x14ac:dyDescent="0.25">
      <c r="A2680"/>
    </row>
    <row r="2681" spans="1:1" ht="15" x14ac:dyDescent="0.25">
      <c r="A2681"/>
    </row>
    <row r="2682" spans="1:1" ht="15" x14ac:dyDescent="0.25">
      <c r="A2682"/>
    </row>
    <row r="2683" spans="1:1" ht="15" x14ac:dyDescent="0.25">
      <c r="A2683"/>
    </row>
    <row r="2684" spans="1:1" ht="15" x14ac:dyDescent="0.25">
      <c r="A2684"/>
    </row>
    <row r="2685" spans="1:1" ht="15" x14ac:dyDescent="0.25">
      <c r="A2685"/>
    </row>
    <row r="2686" spans="1:1" ht="15" x14ac:dyDescent="0.25">
      <c r="A2686"/>
    </row>
    <row r="2687" spans="1:1" ht="15" x14ac:dyDescent="0.25">
      <c r="A2687"/>
    </row>
    <row r="2688" spans="1:1" ht="15" x14ac:dyDescent="0.25">
      <c r="A2688"/>
    </row>
    <row r="2689" spans="1:1" ht="15" x14ac:dyDescent="0.25">
      <c r="A2689"/>
    </row>
    <row r="2690" spans="1:1" ht="15" x14ac:dyDescent="0.25">
      <c r="A2690"/>
    </row>
    <row r="2691" spans="1:1" ht="15" x14ac:dyDescent="0.25">
      <c r="A2691"/>
    </row>
    <row r="2692" spans="1:1" ht="15" x14ac:dyDescent="0.25">
      <c r="A2692"/>
    </row>
    <row r="2693" spans="1:1" ht="15" x14ac:dyDescent="0.25">
      <c r="A2693"/>
    </row>
    <row r="2694" spans="1:1" ht="15" x14ac:dyDescent="0.25">
      <c r="A2694"/>
    </row>
    <row r="2695" spans="1:1" ht="15" x14ac:dyDescent="0.25">
      <c r="A2695"/>
    </row>
    <row r="2696" spans="1:1" ht="15" x14ac:dyDescent="0.25">
      <c r="A2696"/>
    </row>
    <row r="2697" spans="1:1" ht="15" x14ac:dyDescent="0.25">
      <c r="A2697"/>
    </row>
    <row r="2698" spans="1:1" ht="15" x14ac:dyDescent="0.25">
      <c r="A2698"/>
    </row>
    <row r="2699" spans="1:1" ht="15" x14ac:dyDescent="0.25">
      <c r="A2699"/>
    </row>
    <row r="2700" spans="1:1" ht="15" x14ac:dyDescent="0.25">
      <c r="A2700"/>
    </row>
    <row r="2701" spans="1:1" ht="15" x14ac:dyDescent="0.25">
      <c r="A2701"/>
    </row>
    <row r="2702" spans="1:1" ht="15" x14ac:dyDescent="0.25">
      <c r="A2702"/>
    </row>
    <row r="2703" spans="1:1" ht="15" x14ac:dyDescent="0.25">
      <c r="A2703"/>
    </row>
    <row r="2704" spans="1:1" ht="15" x14ac:dyDescent="0.25">
      <c r="A2704"/>
    </row>
    <row r="2705" spans="1:1" ht="15" x14ac:dyDescent="0.25">
      <c r="A2705"/>
    </row>
    <row r="2706" spans="1:1" ht="15" x14ac:dyDescent="0.25">
      <c r="A2706"/>
    </row>
    <row r="2707" spans="1:1" ht="15" x14ac:dyDescent="0.25">
      <c r="A2707"/>
    </row>
    <row r="2708" spans="1:1" ht="15" x14ac:dyDescent="0.25">
      <c r="A2708"/>
    </row>
    <row r="2709" spans="1:1" ht="15" x14ac:dyDescent="0.25">
      <c r="A2709"/>
    </row>
    <row r="2710" spans="1:1" ht="15" x14ac:dyDescent="0.25">
      <c r="A2710"/>
    </row>
    <row r="2711" spans="1:1" ht="15" x14ac:dyDescent="0.25">
      <c r="A2711"/>
    </row>
    <row r="2712" spans="1:1" ht="15" x14ac:dyDescent="0.25">
      <c r="A2712"/>
    </row>
    <row r="2713" spans="1:1" ht="15" x14ac:dyDescent="0.25">
      <c r="A2713"/>
    </row>
    <row r="2714" spans="1:1" ht="15" x14ac:dyDescent="0.25">
      <c r="A2714"/>
    </row>
    <row r="2715" spans="1:1" ht="15" x14ac:dyDescent="0.25">
      <c r="A2715"/>
    </row>
    <row r="2716" spans="1:1" ht="15" x14ac:dyDescent="0.25">
      <c r="A2716"/>
    </row>
    <row r="2717" spans="1:1" ht="15" x14ac:dyDescent="0.25">
      <c r="A2717"/>
    </row>
    <row r="2718" spans="1:1" ht="15" x14ac:dyDescent="0.25">
      <c r="A2718"/>
    </row>
    <row r="2719" spans="1:1" ht="15" x14ac:dyDescent="0.25">
      <c r="A2719"/>
    </row>
    <row r="2720" spans="1:1" ht="15" x14ac:dyDescent="0.25">
      <c r="A2720"/>
    </row>
    <row r="2721" spans="1:1" ht="15" x14ac:dyDescent="0.25">
      <c r="A2721"/>
    </row>
    <row r="2722" spans="1:1" ht="15" x14ac:dyDescent="0.25">
      <c r="A2722"/>
    </row>
    <row r="2723" spans="1:1" ht="15" x14ac:dyDescent="0.25">
      <c r="A2723"/>
    </row>
    <row r="2724" spans="1:1" ht="15" x14ac:dyDescent="0.25">
      <c r="A2724"/>
    </row>
    <row r="2725" spans="1:1" ht="15" x14ac:dyDescent="0.25">
      <c r="A2725"/>
    </row>
    <row r="2726" spans="1:1" ht="15" x14ac:dyDescent="0.25">
      <c r="A2726"/>
    </row>
    <row r="2727" spans="1:1" ht="15" x14ac:dyDescent="0.25">
      <c r="A2727"/>
    </row>
    <row r="2728" spans="1:1" ht="15" x14ac:dyDescent="0.25">
      <c r="A2728"/>
    </row>
    <row r="2729" spans="1:1" ht="15" x14ac:dyDescent="0.25">
      <c r="A2729"/>
    </row>
    <row r="2730" spans="1:1" ht="15" x14ac:dyDescent="0.25">
      <c r="A2730"/>
    </row>
    <row r="2731" spans="1:1" ht="15" x14ac:dyDescent="0.25">
      <c r="A2731"/>
    </row>
    <row r="2732" spans="1:1" ht="15" x14ac:dyDescent="0.25">
      <c r="A2732"/>
    </row>
    <row r="2733" spans="1:1" ht="15" x14ac:dyDescent="0.25">
      <c r="A2733"/>
    </row>
    <row r="2734" spans="1:1" ht="15" x14ac:dyDescent="0.25">
      <c r="A2734"/>
    </row>
    <row r="2735" spans="1:1" ht="15" x14ac:dyDescent="0.25">
      <c r="A2735"/>
    </row>
    <row r="2736" spans="1:1" ht="15" x14ac:dyDescent="0.25">
      <c r="A2736"/>
    </row>
    <row r="2737" spans="1:1" ht="15" x14ac:dyDescent="0.25">
      <c r="A2737"/>
    </row>
    <row r="2738" spans="1:1" ht="15" x14ac:dyDescent="0.25">
      <c r="A2738"/>
    </row>
    <row r="2739" spans="1:1" ht="15" x14ac:dyDescent="0.25">
      <c r="A2739"/>
    </row>
    <row r="2740" spans="1:1" ht="15" x14ac:dyDescent="0.25">
      <c r="A2740"/>
    </row>
    <row r="2741" spans="1:1" ht="15" x14ac:dyDescent="0.25">
      <c r="A2741"/>
    </row>
    <row r="2742" spans="1:1" ht="15" x14ac:dyDescent="0.25">
      <c r="A2742"/>
    </row>
    <row r="2743" spans="1:1" ht="15" x14ac:dyDescent="0.25">
      <c r="A2743"/>
    </row>
    <row r="2744" spans="1:1" ht="15" x14ac:dyDescent="0.25">
      <c r="A2744"/>
    </row>
    <row r="2745" spans="1:1" ht="15" x14ac:dyDescent="0.25">
      <c r="A2745"/>
    </row>
    <row r="2746" spans="1:1" ht="15" x14ac:dyDescent="0.25">
      <c r="A2746"/>
    </row>
    <row r="2747" spans="1:1" ht="15" x14ac:dyDescent="0.25">
      <c r="A2747"/>
    </row>
    <row r="2748" spans="1:1" ht="15" x14ac:dyDescent="0.25">
      <c r="A2748"/>
    </row>
    <row r="2749" spans="1:1" ht="15" x14ac:dyDescent="0.25">
      <c r="A2749"/>
    </row>
    <row r="2750" spans="1:1" ht="15" x14ac:dyDescent="0.25">
      <c r="A2750"/>
    </row>
    <row r="2751" spans="1:1" ht="15" x14ac:dyDescent="0.25">
      <c r="A2751"/>
    </row>
    <row r="2752" spans="1:1" ht="15" x14ac:dyDescent="0.25">
      <c r="A2752"/>
    </row>
    <row r="2753" spans="1:1" ht="15" x14ac:dyDescent="0.25">
      <c r="A2753"/>
    </row>
    <row r="2754" spans="1:1" ht="15" x14ac:dyDescent="0.25">
      <c r="A2754"/>
    </row>
    <row r="2755" spans="1:1" ht="15" x14ac:dyDescent="0.25">
      <c r="A2755"/>
    </row>
    <row r="2756" spans="1:1" ht="15" x14ac:dyDescent="0.25">
      <c r="A2756"/>
    </row>
    <row r="2757" spans="1:1" ht="15" x14ac:dyDescent="0.25">
      <c r="A2757"/>
    </row>
    <row r="2758" spans="1:1" ht="15" x14ac:dyDescent="0.25">
      <c r="A2758"/>
    </row>
    <row r="2759" spans="1:1" ht="15" x14ac:dyDescent="0.25">
      <c r="A2759"/>
    </row>
    <row r="2760" spans="1:1" ht="15" x14ac:dyDescent="0.25">
      <c r="A2760"/>
    </row>
    <row r="2761" spans="1:1" ht="15" x14ac:dyDescent="0.25">
      <c r="A2761"/>
    </row>
    <row r="2762" spans="1:1" ht="15" x14ac:dyDescent="0.25">
      <c r="A2762"/>
    </row>
    <row r="2763" spans="1:1" ht="15" x14ac:dyDescent="0.25">
      <c r="A2763"/>
    </row>
    <row r="2764" spans="1:1" ht="15" x14ac:dyDescent="0.25">
      <c r="A2764"/>
    </row>
    <row r="2765" spans="1:1" ht="15" x14ac:dyDescent="0.25">
      <c r="A2765"/>
    </row>
    <row r="2766" spans="1:1" ht="15" x14ac:dyDescent="0.25">
      <c r="A2766"/>
    </row>
    <row r="2767" spans="1:1" ht="15" x14ac:dyDescent="0.25">
      <c r="A2767"/>
    </row>
    <row r="2768" spans="1:1" ht="15" x14ac:dyDescent="0.25">
      <c r="A2768"/>
    </row>
    <row r="2769" spans="1:1" ht="15" x14ac:dyDescent="0.25">
      <c r="A2769"/>
    </row>
    <row r="2770" spans="1:1" ht="15" x14ac:dyDescent="0.25">
      <c r="A2770"/>
    </row>
    <row r="2771" spans="1:1" ht="15" x14ac:dyDescent="0.25">
      <c r="A2771"/>
    </row>
    <row r="2772" spans="1:1" ht="15" x14ac:dyDescent="0.25">
      <c r="A2772"/>
    </row>
    <row r="2773" spans="1:1" ht="15" x14ac:dyDescent="0.25">
      <c r="A2773"/>
    </row>
    <row r="2774" spans="1:1" ht="15" x14ac:dyDescent="0.25">
      <c r="A2774"/>
    </row>
    <row r="2775" spans="1:1" ht="15" x14ac:dyDescent="0.25">
      <c r="A2775"/>
    </row>
    <row r="2776" spans="1:1" ht="15" x14ac:dyDescent="0.25">
      <c r="A2776"/>
    </row>
    <row r="2777" spans="1:1" ht="15" x14ac:dyDescent="0.25">
      <c r="A2777"/>
    </row>
    <row r="2778" spans="1:1" ht="15" x14ac:dyDescent="0.25">
      <c r="A2778"/>
    </row>
    <row r="2779" spans="1:1" ht="15" x14ac:dyDescent="0.25">
      <c r="A2779"/>
    </row>
    <row r="2780" spans="1:1" ht="15" x14ac:dyDescent="0.25">
      <c r="A2780"/>
    </row>
    <row r="2781" spans="1:1" ht="15" x14ac:dyDescent="0.25">
      <c r="A2781"/>
    </row>
    <row r="2782" spans="1:1" ht="15" x14ac:dyDescent="0.25">
      <c r="A2782"/>
    </row>
    <row r="2783" spans="1:1" ht="15" x14ac:dyDescent="0.25">
      <c r="A2783"/>
    </row>
    <row r="2784" spans="1:1" ht="15" x14ac:dyDescent="0.25">
      <c r="A2784"/>
    </row>
    <row r="2785" spans="1:1" ht="15" x14ac:dyDescent="0.25">
      <c r="A2785"/>
    </row>
    <row r="2786" spans="1:1" ht="15" x14ac:dyDescent="0.25">
      <c r="A2786"/>
    </row>
    <row r="2787" spans="1:1" ht="15" x14ac:dyDescent="0.25">
      <c r="A2787"/>
    </row>
    <row r="2788" spans="1:1" ht="15" x14ac:dyDescent="0.25">
      <c r="A2788"/>
    </row>
    <row r="2789" spans="1:1" ht="15" x14ac:dyDescent="0.25">
      <c r="A2789"/>
    </row>
    <row r="2790" spans="1:1" ht="15" x14ac:dyDescent="0.25">
      <c r="A2790"/>
    </row>
    <row r="2791" spans="1:1" ht="15" x14ac:dyDescent="0.25">
      <c r="A2791"/>
    </row>
    <row r="2792" spans="1:1" ht="15" x14ac:dyDescent="0.25">
      <c r="A2792"/>
    </row>
    <row r="2793" spans="1:1" ht="15" x14ac:dyDescent="0.25">
      <c r="A2793"/>
    </row>
    <row r="2794" spans="1:1" ht="15" x14ac:dyDescent="0.25">
      <c r="A2794"/>
    </row>
    <row r="2795" spans="1:1" ht="15" x14ac:dyDescent="0.25">
      <c r="A2795"/>
    </row>
    <row r="2796" spans="1:1" ht="15" x14ac:dyDescent="0.25">
      <c r="A2796"/>
    </row>
    <row r="2797" spans="1:1" ht="15" x14ac:dyDescent="0.25">
      <c r="A2797"/>
    </row>
    <row r="2798" spans="1:1" ht="15" x14ac:dyDescent="0.25">
      <c r="A2798"/>
    </row>
    <row r="2799" spans="1:1" ht="15" x14ac:dyDescent="0.25">
      <c r="A2799"/>
    </row>
    <row r="2800" spans="1:1" ht="15" x14ac:dyDescent="0.25">
      <c r="A2800"/>
    </row>
    <row r="2801" spans="1:1" ht="15" x14ac:dyDescent="0.25">
      <c r="A2801"/>
    </row>
    <row r="2802" spans="1:1" ht="15" x14ac:dyDescent="0.25">
      <c r="A2802"/>
    </row>
    <row r="2803" spans="1:1" ht="15" x14ac:dyDescent="0.25">
      <c r="A2803"/>
    </row>
    <row r="2804" spans="1:1" ht="15" x14ac:dyDescent="0.25">
      <c r="A2804"/>
    </row>
    <row r="2805" spans="1:1" ht="15" x14ac:dyDescent="0.25">
      <c r="A2805"/>
    </row>
    <row r="2806" spans="1:1" ht="15" x14ac:dyDescent="0.25">
      <c r="A2806"/>
    </row>
    <row r="2807" spans="1:1" ht="15" x14ac:dyDescent="0.25">
      <c r="A2807"/>
    </row>
    <row r="2808" spans="1:1" ht="15" x14ac:dyDescent="0.25">
      <c r="A2808"/>
    </row>
    <row r="2809" spans="1:1" ht="15" x14ac:dyDescent="0.25">
      <c r="A2809"/>
    </row>
    <row r="2810" spans="1:1" ht="15" x14ac:dyDescent="0.25">
      <c r="A2810"/>
    </row>
    <row r="2811" spans="1:1" ht="15" x14ac:dyDescent="0.25">
      <c r="A2811"/>
    </row>
    <row r="2812" spans="1:1" ht="15" x14ac:dyDescent="0.25">
      <c r="A2812"/>
    </row>
    <row r="2813" spans="1:1" ht="15" x14ac:dyDescent="0.25">
      <c r="A2813"/>
    </row>
    <row r="2814" spans="1:1" ht="15" x14ac:dyDescent="0.25">
      <c r="A2814"/>
    </row>
    <row r="2815" spans="1:1" ht="15" x14ac:dyDescent="0.25">
      <c r="A2815"/>
    </row>
    <row r="2816" spans="1:1" ht="15" x14ac:dyDescent="0.25">
      <c r="A2816"/>
    </row>
    <row r="2817" spans="1:1" ht="15" x14ac:dyDescent="0.25">
      <c r="A2817"/>
    </row>
    <row r="2818" spans="1:1" ht="15" x14ac:dyDescent="0.25">
      <c r="A2818"/>
    </row>
    <row r="2819" spans="1:1" ht="15" x14ac:dyDescent="0.25">
      <c r="A2819"/>
    </row>
    <row r="2820" spans="1:1" ht="15" x14ac:dyDescent="0.25">
      <c r="A2820"/>
    </row>
    <row r="2821" spans="1:1" ht="15" x14ac:dyDescent="0.25">
      <c r="A2821"/>
    </row>
    <row r="2822" spans="1:1" ht="15" x14ac:dyDescent="0.25">
      <c r="A2822"/>
    </row>
    <row r="2823" spans="1:1" ht="15" x14ac:dyDescent="0.25">
      <c r="A2823"/>
    </row>
    <row r="2824" spans="1:1" ht="15" x14ac:dyDescent="0.25">
      <c r="A2824"/>
    </row>
    <row r="2825" spans="1:1" ht="15" x14ac:dyDescent="0.25">
      <c r="A2825"/>
    </row>
    <row r="2826" spans="1:1" ht="15" x14ac:dyDescent="0.25">
      <c r="A2826"/>
    </row>
    <row r="2827" spans="1:1" ht="15" x14ac:dyDescent="0.25">
      <c r="A2827"/>
    </row>
    <row r="2828" spans="1:1" ht="15" x14ac:dyDescent="0.25">
      <c r="A2828"/>
    </row>
    <row r="2829" spans="1:1" ht="15" x14ac:dyDescent="0.25">
      <c r="A2829"/>
    </row>
    <row r="2830" spans="1:1" ht="15" x14ac:dyDescent="0.25">
      <c r="A2830"/>
    </row>
    <row r="2831" spans="1:1" ht="15" x14ac:dyDescent="0.25">
      <c r="A2831"/>
    </row>
    <row r="2832" spans="1:1" ht="15" x14ac:dyDescent="0.25">
      <c r="A2832"/>
    </row>
    <row r="2833" spans="1:1" ht="15" x14ac:dyDescent="0.25">
      <c r="A2833"/>
    </row>
    <row r="2834" spans="1:1" ht="15" x14ac:dyDescent="0.25">
      <c r="A2834"/>
    </row>
    <row r="2835" spans="1:1" ht="15" x14ac:dyDescent="0.25">
      <c r="A2835"/>
    </row>
    <row r="2836" spans="1:1" ht="15" x14ac:dyDescent="0.25">
      <c r="A2836"/>
    </row>
    <row r="2837" spans="1:1" ht="15" x14ac:dyDescent="0.25">
      <c r="A2837"/>
    </row>
    <row r="2838" spans="1:1" ht="15" x14ac:dyDescent="0.25">
      <c r="A2838"/>
    </row>
    <row r="2839" spans="1:1" ht="15" x14ac:dyDescent="0.25">
      <c r="A2839"/>
    </row>
    <row r="2840" spans="1:1" ht="15" x14ac:dyDescent="0.25">
      <c r="A2840"/>
    </row>
    <row r="2841" spans="1:1" ht="15" x14ac:dyDescent="0.25">
      <c r="A2841"/>
    </row>
    <row r="2842" spans="1:1" ht="15" x14ac:dyDescent="0.25">
      <c r="A2842"/>
    </row>
    <row r="2843" spans="1:1" ht="15" x14ac:dyDescent="0.25">
      <c r="A2843"/>
    </row>
    <row r="2844" spans="1:1" ht="15" x14ac:dyDescent="0.25">
      <c r="A2844"/>
    </row>
    <row r="2845" spans="1:1" ht="15" x14ac:dyDescent="0.25">
      <c r="A2845"/>
    </row>
    <row r="2846" spans="1:1" ht="15" x14ac:dyDescent="0.25">
      <c r="A2846"/>
    </row>
    <row r="2847" spans="1:1" ht="15" x14ac:dyDescent="0.25">
      <c r="A2847"/>
    </row>
    <row r="2848" spans="1:1" ht="15" x14ac:dyDescent="0.25">
      <c r="A2848"/>
    </row>
    <row r="2849" spans="1:1" ht="15" x14ac:dyDescent="0.25">
      <c r="A2849"/>
    </row>
    <row r="2850" spans="1:1" ht="15" x14ac:dyDescent="0.25">
      <c r="A2850"/>
    </row>
    <row r="2851" spans="1:1" ht="15" x14ac:dyDescent="0.25">
      <c r="A2851"/>
    </row>
    <row r="2852" spans="1:1" ht="15" x14ac:dyDescent="0.25">
      <c r="A2852"/>
    </row>
    <row r="2853" spans="1:1" ht="15" x14ac:dyDescent="0.25">
      <c r="A2853"/>
    </row>
    <row r="2854" spans="1:1" ht="15" x14ac:dyDescent="0.25">
      <c r="A2854"/>
    </row>
    <row r="2855" spans="1:1" ht="15" x14ac:dyDescent="0.25">
      <c r="A2855"/>
    </row>
    <row r="2856" spans="1:1" ht="15" x14ac:dyDescent="0.25">
      <c r="A2856"/>
    </row>
    <row r="2857" spans="1:1" ht="15" x14ac:dyDescent="0.25">
      <c r="A2857"/>
    </row>
    <row r="2858" spans="1:1" ht="15" x14ac:dyDescent="0.25">
      <c r="A2858"/>
    </row>
    <row r="2859" spans="1:1" ht="15" x14ac:dyDescent="0.25">
      <c r="A2859"/>
    </row>
    <row r="2860" spans="1:1" ht="15" x14ac:dyDescent="0.25">
      <c r="A2860"/>
    </row>
    <row r="2861" spans="1:1" ht="15" x14ac:dyDescent="0.25">
      <c r="A2861"/>
    </row>
    <row r="2862" spans="1:1" ht="15" x14ac:dyDescent="0.25">
      <c r="A2862"/>
    </row>
    <row r="2863" spans="1:1" ht="15" x14ac:dyDescent="0.25">
      <c r="A2863"/>
    </row>
    <row r="2864" spans="1:1" ht="15" x14ac:dyDescent="0.25">
      <c r="A2864"/>
    </row>
    <row r="2865" spans="1:1" ht="15" x14ac:dyDescent="0.25">
      <c r="A2865"/>
    </row>
    <row r="2866" spans="1:1" ht="15" x14ac:dyDescent="0.25">
      <c r="A2866"/>
    </row>
    <row r="2867" spans="1:1" ht="15" x14ac:dyDescent="0.25">
      <c r="A2867"/>
    </row>
    <row r="2868" spans="1:1" ht="15" x14ac:dyDescent="0.25">
      <c r="A2868"/>
    </row>
    <row r="2869" spans="1:1" ht="15" x14ac:dyDescent="0.25">
      <c r="A2869"/>
    </row>
    <row r="2870" spans="1:1" ht="15" x14ac:dyDescent="0.25">
      <c r="A2870"/>
    </row>
    <row r="2871" spans="1:1" ht="15" x14ac:dyDescent="0.25">
      <c r="A2871"/>
    </row>
    <row r="2872" spans="1:1" ht="15" x14ac:dyDescent="0.25">
      <c r="A2872"/>
    </row>
    <row r="2873" spans="1:1" ht="15" x14ac:dyDescent="0.25">
      <c r="A2873"/>
    </row>
    <row r="2874" spans="1:1" ht="15" x14ac:dyDescent="0.25">
      <c r="A2874"/>
    </row>
    <row r="2875" spans="1:1" ht="15" x14ac:dyDescent="0.25">
      <c r="A2875"/>
    </row>
    <row r="2876" spans="1:1" ht="15" x14ac:dyDescent="0.25">
      <c r="A2876"/>
    </row>
    <row r="2877" spans="1:1" ht="15" x14ac:dyDescent="0.25">
      <c r="A2877"/>
    </row>
    <row r="2878" spans="1:1" ht="15" x14ac:dyDescent="0.25">
      <c r="A2878"/>
    </row>
    <row r="2879" spans="1:1" ht="15" x14ac:dyDescent="0.25">
      <c r="A2879"/>
    </row>
    <row r="2880" spans="1:1" ht="15" x14ac:dyDescent="0.25">
      <c r="A2880"/>
    </row>
    <row r="2881" spans="1:1" ht="15" x14ac:dyDescent="0.25">
      <c r="A2881"/>
    </row>
    <row r="2882" spans="1:1" ht="15" x14ac:dyDescent="0.25">
      <c r="A2882"/>
    </row>
    <row r="2883" spans="1:1" ht="15" x14ac:dyDescent="0.25">
      <c r="A2883"/>
    </row>
    <row r="2884" spans="1:1" ht="15" x14ac:dyDescent="0.25">
      <c r="A2884"/>
    </row>
    <row r="2885" spans="1:1" ht="15" x14ac:dyDescent="0.25">
      <c r="A2885"/>
    </row>
    <row r="2886" spans="1:1" ht="15" x14ac:dyDescent="0.25">
      <c r="A2886"/>
    </row>
    <row r="2887" spans="1:1" ht="15" x14ac:dyDescent="0.25">
      <c r="A2887"/>
    </row>
    <row r="2888" spans="1:1" ht="15" x14ac:dyDescent="0.25">
      <c r="A2888"/>
    </row>
    <row r="2889" spans="1:1" ht="15" x14ac:dyDescent="0.25">
      <c r="A2889"/>
    </row>
    <row r="2890" spans="1:1" ht="15" x14ac:dyDescent="0.25">
      <c r="A2890"/>
    </row>
    <row r="2891" spans="1:1" ht="15" x14ac:dyDescent="0.25">
      <c r="A2891"/>
    </row>
    <row r="2892" spans="1:1" ht="15" x14ac:dyDescent="0.25">
      <c r="A2892"/>
    </row>
    <row r="2893" spans="1:1" ht="15" x14ac:dyDescent="0.25">
      <c r="A2893"/>
    </row>
    <row r="2894" spans="1:1" ht="15" x14ac:dyDescent="0.25">
      <c r="A2894"/>
    </row>
    <row r="2895" spans="1:1" ht="15" x14ac:dyDescent="0.25">
      <c r="A2895"/>
    </row>
    <row r="2896" spans="1:1" ht="15" x14ac:dyDescent="0.25">
      <c r="A2896"/>
    </row>
    <row r="2897" spans="1:1" ht="15" x14ac:dyDescent="0.25">
      <c r="A2897"/>
    </row>
    <row r="2898" spans="1:1" ht="15" x14ac:dyDescent="0.25">
      <c r="A2898"/>
    </row>
    <row r="2899" spans="1:1" ht="15" x14ac:dyDescent="0.25">
      <c r="A2899"/>
    </row>
    <row r="2900" spans="1:1" ht="15" x14ac:dyDescent="0.25">
      <c r="A2900"/>
    </row>
    <row r="2901" spans="1:1" ht="15" x14ac:dyDescent="0.25">
      <c r="A2901"/>
    </row>
    <row r="2902" spans="1:1" ht="15" x14ac:dyDescent="0.25">
      <c r="A2902"/>
    </row>
    <row r="2903" spans="1:1" ht="15" x14ac:dyDescent="0.25">
      <c r="A2903"/>
    </row>
    <row r="2904" spans="1:1" ht="15" x14ac:dyDescent="0.25">
      <c r="A2904"/>
    </row>
    <row r="2905" spans="1:1" ht="15" x14ac:dyDescent="0.25">
      <c r="A2905"/>
    </row>
    <row r="2906" spans="1:1" ht="15" x14ac:dyDescent="0.25">
      <c r="A2906"/>
    </row>
    <row r="2907" spans="1:1" ht="15" x14ac:dyDescent="0.25">
      <c r="A2907"/>
    </row>
    <row r="2908" spans="1:1" ht="15" x14ac:dyDescent="0.25">
      <c r="A2908"/>
    </row>
    <row r="2909" spans="1:1" ht="15" x14ac:dyDescent="0.25">
      <c r="A2909"/>
    </row>
    <row r="2910" spans="1:1" ht="15" x14ac:dyDescent="0.25">
      <c r="A2910"/>
    </row>
    <row r="2911" spans="1:1" ht="15" x14ac:dyDescent="0.25">
      <c r="A2911"/>
    </row>
    <row r="2912" spans="1:1" ht="15" x14ac:dyDescent="0.25">
      <c r="A2912"/>
    </row>
    <row r="2913" spans="1:1" ht="15" x14ac:dyDescent="0.25">
      <c r="A2913"/>
    </row>
    <row r="2914" spans="1:1" ht="15" x14ac:dyDescent="0.25">
      <c r="A2914"/>
    </row>
    <row r="2915" spans="1:1" ht="15" x14ac:dyDescent="0.25">
      <c r="A2915"/>
    </row>
    <row r="2916" spans="1:1" ht="15" x14ac:dyDescent="0.25">
      <c r="A2916"/>
    </row>
    <row r="2917" spans="1:1" ht="15" x14ac:dyDescent="0.25">
      <c r="A2917"/>
    </row>
    <row r="2918" spans="1:1" ht="15" x14ac:dyDescent="0.25">
      <c r="A2918"/>
    </row>
    <row r="2919" spans="1:1" ht="15" x14ac:dyDescent="0.25">
      <c r="A2919"/>
    </row>
    <row r="2920" spans="1:1" ht="15" x14ac:dyDescent="0.25">
      <c r="A2920"/>
    </row>
    <row r="2921" spans="1:1" ht="15" x14ac:dyDescent="0.25">
      <c r="A2921"/>
    </row>
    <row r="2922" spans="1:1" ht="15" x14ac:dyDescent="0.25">
      <c r="A2922"/>
    </row>
    <row r="2923" spans="1:1" ht="15" x14ac:dyDescent="0.25">
      <c r="A2923"/>
    </row>
    <row r="2924" spans="1:1" ht="15" x14ac:dyDescent="0.25">
      <c r="A2924"/>
    </row>
    <row r="2925" spans="1:1" ht="15" x14ac:dyDescent="0.25">
      <c r="A2925"/>
    </row>
    <row r="2926" spans="1:1" ht="15" x14ac:dyDescent="0.25">
      <c r="A2926"/>
    </row>
    <row r="2927" spans="1:1" ht="15" x14ac:dyDescent="0.25">
      <c r="A2927"/>
    </row>
    <row r="2928" spans="1:1" ht="15" x14ac:dyDescent="0.25">
      <c r="A2928"/>
    </row>
    <row r="2929" spans="1:1" ht="15" x14ac:dyDescent="0.25">
      <c r="A2929"/>
    </row>
    <row r="2930" spans="1:1" ht="15" x14ac:dyDescent="0.25">
      <c r="A2930"/>
    </row>
    <row r="2931" spans="1:1" ht="15" x14ac:dyDescent="0.25">
      <c r="A2931"/>
    </row>
    <row r="2932" spans="1:1" ht="15" x14ac:dyDescent="0.25">
      <c r="A2932"/>
    </row>
    <row r="2933" spans="1:1" ht="15" x14ac:dyDescent="0.25">
      <c r="A2933"/>
    </row>
    <row r="2934" spans="1:1" ht="15" x14ac:dyDescent="0.25">
      <c r="A2934"/>
    </row>
    <row r="2935" spans="1:1" ht="15" x14ac:dyDescent="0.25">
      <c r="A2935"/>
    </row>
    <row r="2936" spans="1:1" ht="15" x14ac:dyDescent="0.25">
      <c r="A2936"/>
    </row>
    <row r="2937" spans="1:1" ht="15" x14ac:dyDescent="0.25">
      <c r="A2937"/>
    </row>
    <row r="2938" spans="1:1" ht="15" x14ac:dyDescent="0.25">
      <c r="A2938"/>
    </row>
    <row r="2939" spans="1:1" ht="15" x14ac:dyDescent="0.25">
      <c r="A2939"/>
    </row>
    <row r="2940" spans="1:1" ht="15" x14ac:dyDescent="0.25">
      <c r="A2940"/>
    </row>
    <row r="2941" spans="1:1" ht="15" x14ac:dyDescent="0.25">
      <c r="A2941"/>
    </row>
    <row r="2942" spans="1:1" ht="15" x14ac:dyDescent="0.25">
      <c r="A2942"/>
    </row>
    <row r="2943" spans="1:1" ht="15" x14ac:dyDescent="0.25">
      <c r="A2943"/>
    </row>
    <row r="2944" spans="1:1" ht="15" x14ac:dyDescent="0.25">
      <c r="A2944"/>
    </row>
    <row r="2945" spans="1:1" ht="15" x14ac:dyDescent="0.25">
      <c r="A2945"/>
    </row>
    <row r="2946" spans="1:1" ht="15" x14ac:dyDescent="0.25">
      <c r="A2946"/>
    </row>
    <row r="2947" spans="1:1" ht="15" x14ac:dyDescent="0.25">
      <c r="A2947"/>
    </row>
    <row r="2948" spans="1:1" ht="15" x14ac:dyDescent="0.25">
      <c r="A2948"/>
    </row>
    <row r="2949" spans="1:1" ht="15" x14ac:dyDescent="0.25">
      <c r="A2949"/>
    </row>
    <row r="2950" spans="1:1" ht="15" x14ac:dyDescent="0.25">
      <c r="A2950"/>
    </row>
    <row r="2951" spans="1:1" ht="15" x14ac:dyDescent="0.25">
      <c r="A2951"/>
    </row>
    <row r="2952" spans="1:1" ht="15" x14ac:dyDescent="0.25">
      <c r="A2952"/>
    </row>
    <row r="2953" spans="1:1" ht="15" x14ac:dyDescent="0.25">
      <c r="A2953"/>
    </row>
    <row r="2954" spans="1:1" ht="15" x14ac:dyDescent="0.25">
      <c r="A2954"/>
    </row>
    <row r="2955" spans="1:1" ht="15" x14ac:dyDescent="0.25">
      <c r="A2955"/>
    </row>
    <row r="2956" spans="1:1" ht="15" x14ac:dyDescent="0.25">
      <c r="A2956"/>
    </row>
    <row r="2957" spans="1:1" ht="15" x14ac:dyDescent="0.25">
      <c r="A2957"/>
    </row>
    <row r="2958" spans="1:1" ht="15" x14ac:dyDescent="0.25">
      <c r="A2958"/>
    </row>
    <row r="2959" spans="1:1" ht="15" x14ac:dyDescent="0.25">
      <c r="A2959"/>
    </row>
    <row r="2960" spans="1:1" ht="15" x14ac:dyDescent="0.25">
      <c r="A2960"/>
    </row>
    <row r="2961" spans="1:1" ht="15" x14ac:dyDescent="0.25">
      <c r="A2961"/>
    </row>
    <row r="2962" spans="1:1" ht="15" x14ac:dyDescent="0.25">
      <c r="A2962"/>
    </row>
    <row r="2963" spans="1:1" ht="15" x14ac:dyDescent="0.25">
      <c r="A2963"/>
    </row>
    <row r="2964" spans="1:1" ht="15" x14ac:dyDescent="0.25">
      <c r="A2964"/>
    </row>
    <row r="2965" spans="1:1" ht="15" x14ac:dyDescent="0.25">
      <c r="A2965"/>
    </row>
    <row r="2966" spans="1:1" ht="15" x14ac:dyDescent="0.25">
      <c r="A2966"/>
    </row>
    <row r="2967" spans="1:1" ht="15" x14ac:dyDescent="0.25">
      <c r="A2967"/>
    </row>
    <row r="2968" spans="1:1" ht="15" x14ac:dyDescent="0.25">
      <c r="A2968"/>
    </row>
    <row r="2969" spans="1:1" ht="15" x14ac:dyDescent="0.25">
      <c r="A2969"/>
    </row>
    <row r="2970" spans="1:1" ht="15" x14ac:dyDescent="0.25">
      <c r="A2970"/>
    </row>
    <row r="2971" spans="1:1" ht="15" x14ac:dyDescent="0.25">
      <c r="A2971"/>
    </row>
    <row r="2972" spans="1:1" ht="15" x14ac:dyDescent="0.25">
      <c r="A2972"/>
    </row>
    <row r="2973" spans="1:1" ht="15" x14ac:dyDescent="0.25">
      <c r="A2973"/>
    </row>
    <row r="2974" spans="1:1" ht="15" x14ac:dyDescent="0.25">
      <c r="A2974"/>
    </row>
    <row r="2975" spans="1:1" ht="15" x14ac:dyDescent="0.25">
      <c r="A2975"/>
    </row>
    <row r="2976" spans="1:1" ht="15" x14ac:dyDescent="0.25">
      <c r="A2976"/>
    </row>
    <row r="2977" spans="1:1" ht="15" x14ac:dyDescent="0.25">
      <c r="A2977"/>
    </row>
    <row r="2978" spans="1:1" ht="15" x14ac:dyDescent="0.25">
      <c r="A2978"/>
    </row>
    <row r="2979" spans="1:1" ht="15" x14ac:dyDescent="0.25">
      <c r="A2979"/>
    </row>
    <row r="2980" spans="1:1" ht="15" x14ac:dyDescent="0.25">
      <c r="A2980"/>
    </row>
    <row r="2981" spans="1:1" ht="15" x14ac:dyDescent="0.25">
      <c r="A2981"/>
    </row>
    <row r="2982" spans="1:1" ht="15" x14ac:dyDescent="0.25">
      <c r="A2982"/>
    </row>
    <row r="2983" spans="1:1" ht="15" x14ac:dyDescent="0.25">
      <c r="A2983"/>
    </row>
    <row r="2984" spans="1:1" ht="15" x14ac:dyDescent="0.25">
      <c r="A2984"/>
    </row>
    <row r="2985" spans="1:1" ht="15" x14ac:dyDescent="0.25">
      <c r="A2985"/>
    </row>
    <row r="2986" spans="1:1" ht="15" x14ac:dyDescent="0.25">
      <c r="A2986"/>
    </row>
    <row r="2987" spans="1:1" ht="15" x14ac:dyDescent="0.25">
      <c r="A2987"/>
    </row>
    <row r="2988" spans="1:1" ht="15" x14ac:dyDescent="0.25">
      <c r="A2988"/>
    </row>
    <row r="2989" spans="1:1" ht="15" x14ac:dyDescent="0.25">
      <c r="A2989"/>
    </row>
    <row r="2990" spans="1:1" ht="15" x14ac:dyDescent="0.25">
      <c r="A2990"/>
    </row>
    <row r="2991" spans="1:1" ht="15" x14ac:dyDescent="0.25">
      <c r="A2991"/>
    </row>
    <row r="2992" spans="1:1" ht="15" x14ac:dyDescent="0.25">
      <c r="A2992"/>
    </row>
    <row r="2993" spans="1:1" ht="15" x14ac:dyDescent="0.25">
      <c r="A2993"/>
    </row>
    <row r="2994" spans="1:1" ht="15" x14ac:dyDescent="0.25">
      <c r="A2994"/>
    </row>
    <row r="2995" spans="1:1" ht="15" x14ac:dyDescent="0.25">
      <c r="A2995"/>
    </row>
    <row r="2996" spans="1:1" ht="15" x14ac:dyDescent="0.25">
      <c r="A2996"/>
    </row>
    <row r="2997" spans="1:1" ht="15" x14ac:dyDescent="0.25">
      <c r="A2997"/>
    </row>
    <row r="2998" spans="1:1" ht="15" x14ac:dyDescent="0.25">
      <c r="A2998"/>
    </row>
    <row r="2999" spans="1:1" ht="15" x14ac:dyDescent="0.25">
      <c r="A2999"/>
    </row>
    <row r="3000" spans="1:1" ht="15" x14ac:dyDescent="0.25">
      <c r="A3000"/>
    </row>
    <row r="3001" spans="1:1" ht="15" x14ac:dyDescent="0.25">
      <c r="A3001"/>
    </row>
    <row r="3002" spans="1:1" ht="15" x14ac:dyDescent="0.25">
      <c r="A3002"/>
    </row>
    <row r="3003" spans="1:1" ht="15" x14ac:dyDescent="0.25">
      <c r="A3003"/>
    </row>
    <row r="3004" spans="1:1" ht="15" x14ac:dyDescent="0.25">
      <c r="A3004"/>
    </row>
    <row r="3005" spans="1:1" ht="15" x14ac:dyDescent="0.25">
      <c r="A3005"/>
    </row>
    <row r="3006" spans="1:1" ht="15" x14ac:dyDescent="0.25">
      <c r="A3006"/>
    </row>
    <row r="3007" spans="1:1" ht="15" x14ac:dyDescent="0.25">
      <c r="A3007"/>
    </row>
    <row r="3008" spans="1:1" ht="15" x14ac:dyDescent="0.25">
      <c r="A3008"/>
    </row>
    <row r="3009" spans="1:1" ht="15" x14ac:dyDescent="0.25">
      <c r="A3009"/>
    </row>
    <row r="3010" spans="1:1" ht="15" x14ac:dyDescent="0.25">
      <c r="A3010"/>
    </row>
    <row r="3011" spans="1:1" ht="15" x14ac:dyDescent="0.25">
      <c r="A3011"/>
    </row>
    <row r="3012" spans="1:1" ht="15" x14ac:dyDescent="0.25">
      <c r="A3012"/>
    </row>
    <row r="3013" spans="1:1" ht="15" x14ac:dyDescent="0.25">
      <c r="A3013"/>
    </row>
    <row r="3014" spans="1:1" ht="15" x14ac:dyDescent="0.25">
      <c r="A3014"/>
    </row>
    <row r="3015" spans="1:1" ht="15" x14ac:dyDescent="0.25">
      <c r="A3015"/>
    </row>
    <row r="3016" spans="1:1" ht="15" x14ac:dyDescent="0.25">
      <c r="A3016"/>
    </row>
    <row r="3017" spans="1:1" ht="15" x14ac:dyDescent="0.25">
      <c r="A3017"/>
    </row>
    <row r="3018" spans="1:1" ht="15" x14ac:dyDescent="0.25">
      <c r="A3018"/>
    </row>
    <row r="3019" spans="1:1" ht="15" x14ac:dyDescent="0.25">
      <c r="A3019"/>
    </row>
    <row r="3020" spans="1:1" ht="15" x14ac:dyDescent="0.25">
      <c r="A3020"/>
    </row>
    <row r="3021" spans="1:1" ht="15" x14ac:dyDescent="0.25">
      <c r="A3021"/>
    </row>
    <row r="3022" spans="1:1" ht="15" x14ac:dyDescent="0.25">
      <c r="A3022"/>
    </row>
    <row r="3023" spans="1:1" ht="15" x14ac:dyDescent="0.25">
      <c r="A3023"/>
    </row>
    <row r="3024" spans="1:1" ht="15" x14ac:dyDescent="0.25">
      <c r="A3024"/>
    </row>
    <row r="3025" spans="1:1" ht="15" x14ac:dyDescent="0.25">
      <c r="A3025"/>
    </row>
    <row r="3026" spans="1:1" ht="15" x14ac:dyDescent="0.25">
      <c r="A3026"/>
    </row>
    <row r="3027" spans="1:1" ht="15" x14ac:dyDescent="0.25">
      <c r="A3027"/>
    </row>
    <row r="3028" spans="1:1" ht="15" x14ac:dyDescent="0.25">
      <c r="A3028"/>
    </row>
    <row r="3029" spans="1:1" ht="15" x14ac:dyDescent="0.25">
      <c r="A3029"/>
    </row>
    <row r="3030" spans="1:1" ht="15" x14ac:dyDescent="0.25">
      <c r="A3030"/>
    </row>
    <row r="3031" spans="1:1" ht="15" x14ac:dyDescent="0.25">
      <c r="A3031"/>
    </row>
    <row r="3032" spans="1:1" ht="15" x14ac:dyDescent="0.25">
      <c r="A3032"/>
    </row>
    <row r="3033" spans="1:1" ht="15" x14ac:dyDescent="0.25">
      <c r="A3033"/>
    </row>
    <row r="3034" spans="1:1" ht="15" x14ac:dyDescent="0.25">
      <c r="A3034"/>
    </row>
    <row r="3035" spans="1:1" ht="15" x14ac:dyDescent="0.25">
      <c r="A3035"/>
    </row>
    <row r="3036" spans="1:1" ht="15" x14ac:dyDescent="0.25">
      <c r="A3036"/>
    </row>
    <row r="3037" spans="1:1" ht="15" x14ac:dyDescent="0.25">
      <c r="A3037"/>
    </row>
    <row r="3038" spans="1:1" ht="15" x14ac:dyDescent="0.25">
      <c r="A3038"/>
    </row>
    <row r="3039" spans="1:1" ht="15" x14ac:dyDescent="0.25">
      <c r="A3039"/>
    </row>
    <row r="3040" spans="1:1" ht="15" x14ac:dyDescent="0.25">
      <c r="A3040"/>
    </row>
    <row r="3041" spans="1:1" ht="15" x14ac:dyDescent="0.25">
      <c r="A3041"/>
    </row>
    <row r="3042" spans="1:1" ht="15" x14ac:dyDescent="0.25">
      <c r="A3042"/>
    </row>
    <row r="3043" spans="1:1" ht="15" x14ac:dyDescent="0.25">
      <c r="A3043"/>
    </row>
    <row r="3044" spans="1:1" ht="15" x14ac:dyDescent="0.25">
      <c r="A3044"/>
    </row>
    <row r="3045" spans="1:1" ht="15" x14ac:dyDescent="0.25">
      <c r="A3045"/>
    </row>
    <row r="3046" spans="1:1" ht="15" x14ac:dyDescent="0.25">
      <c r="A3046"/>
    </row>
    <row r="3047" spans="1:1" ht="15" x14ac:dyDescent="0.25">
      <c r="A3047"/>
    </row>
    <row r="3048" spans="1:1" ht="15" x14ac:dyDescent="0.25">
      <c r="A3048"/>
    </row>
    <row r="3049" spans="1:1" ht="15" x14ac:dyDescent="0.25">
      <c r="A3049"/>
    </row>
    <row r="3050" spans="1:1" ht="15" x14ac:dyDescent="0.25">
      <c r="A3050"/>
    </row>
    <row r="3051" spans="1:1" ht="15" x14ac:dyDescent="0.25">
      <c r="A3051"/>
    </row>
    <row r="3052" spans="1:1" ht="15" x14ac:dyDescent="0.25">
      <c r="A3052"/>
    </row>
    <row r="3053" spans="1:1" ht="15" x14ac:dyDescent="0.25">
      <c r="A3053"/>
    </row>
    <row r="3054" spans="1:1" ht="15" x14ac:dyDescent="0.25">
      <c r="A3054"/>
    </row>
    <row r="3055" spans="1:1" ht="15" x14ac:dyDescent="0.25">
      <c r="A3055"/>
    </row>
    <row r="3056" spans="1:1" ht="15" x14ac:dyDescent="0.25">
      <c r="A3056"/>
    </row>
    <row r="3057" spans="1:1" ht="15" x14ac:dyDescent="0.25">
      <c r="A3057"/>
    </row>
    <row r="3058" spans="1:1" ht="15" x14ac:dyDescent="0.25">
      <c r="A3058"/>
    </row>
    <row r="3059" spans="1:1" ht="15" x14ac:dyDescent="0.25">
      <c r="A3059"/>
    </row>
    <row r="3060" spans="1:1" ht="15" x14ac:dyDescent="0.25">
      <c r="A3060"/>
    </row>
    <row r="3061" spans="1:1" ht="15" x14ac:dyDescent="0.25">
      <c r="A3061"/>
    </row>
    <row r="3062" spans="1:1" ht="15" x14ac:dyDescent="0.25">
      <c r="A3062"/>
    </row>
    <row r="3063" spans="1:1" ht="15" x14ac:dyDescent="0.25">
      <c r="A3063"/>
    </row>
    <row r="3064" spans="1:1" ht="15" x14ac:dyDescent="0.25">
      <c r="A3064"/>
    </row>
    <row r="3065" spans="1:1" ht="15" x14ac:dyDescent="0.25">
      <c r="A3065"/>
    </row>
    <row r="3066" spans="1:1" ht="15" x14ac:dyDescent="0.25">
      <c r="A3066"/>
    </row>
    <row r="3067" spans="1:1" ht="15" x14ac:dyDescent="0.25">
      <c r="A3067"/>
    </row>
    <row r="3068" spans="1:1" ht="15" x14ac:dyDescent="0.25">
      <c r="A3068"/>
    </row>
    <row r="3069" spans="1:1" ht="15" x14ac:dyDescent="0.25">
      <c r="A3069"/>
    </row>
    <row r="3070" spans="1:1" ht="15" x14ac:dyDescent="0.25">
      <c r="A3070"/>
    </row>
    <row r="3071" spans="1:1" ht="15" x14ac:dyDescent="0.25">
      <c r="A3071"/>
    </row>
    <row r="3072" spans="1:1" ht="15" x14ac:dyDescent="0.25">
      <c r="A3072"/>
    </row>
    <row r="3073" spans="1:1" ht="15" x14ac:dyDescent="0.25">
      <c r="A3073"/>
    </row>
    <row r="3074" spans="1:1" ht="15" x14ac:dyDescent="0.25">
      <c r="A3074"/>
    </row>
    <row r="3075" spans="1:1" ht="15" x14ac:dyDescent="0.25">
      <c r="A3075"/>
    </row>
    <row r="3076" spans="1:1" ht="15" x14ac:dyDescent="0.25">
      <c r="A3076"/>
    </row>
    <row r="3077" spans="1:1" ht="15" x14ac:dyDescent="0.25">
      <c r="A3077"/>
    </row>
    <row r="3078" spans="1:1" ht="15" x14ac:dyDescent="0.25">
      <c r="A3078"/>
    </row>
    <row r="3079" spans="1:1" ht="15" x14ac:dyDescent="0.25">
      <c r="A3079"/>
    </row>
    <row r="3080" spans="1:1" ht="15" x14ac:dyDescent="0.25">
      <c r="A3080"/>
    </row>
    <row r="3081" spans="1:1" ht="15" x14ac:dyDescent="0.25">
      <c r="A3081"/>
    </row>
    <row r="3082" spans="1:1" ht="15" x14ac:dyDescent="0.25">
      <c r="A3082"/>
    </row>
    <row r="3083" spans="1:1" ht="15" x14ac:dyDescent="0.25">
      <c r="A3083"/>
    </row>
    <row r="3084" spans="1:1" ht="15" x14ac:dyDescent="0.25">
      <c r="A3084"/>
    </row>
    <row r="3085" spans="1:1" ht="15" x14ac:dyDescent="0.25">
      <c r="A3085"/>
    </row>
    <row r="3086" spans="1:1" ht="15" x14ac:dyDescent="0.25">
      <c r="A3086"/>
    </row>
    <row r="3087" spans="1:1" ht="15" x14ac:dyDescent="0.25">
      <c r="A3087"/>
    </row>
    <row r="3088" spans="1:1" ht="15" x14ac:dyDescent="0.25">
      <c r="A3088"/>
    </row>
    <row r="3089" spans="1:1" ht="15" x14ac:dyDescent="0.25">
      <c r="A3089"/>
    </row>
    <row r="3090" spans="1:1" ht="15" x14ac:dyDescent="0.25">
      <c r="A3090"/>
    </row>
    <row r="3091" spans="1:1" ht="15" x14ac:dyDescent="0.25">
      <c r="A3091"/>
    </row>
    <row r="3092" spans="1:1" ht="15" x14ac:dyDescent="0.25">
      <c r="A3092"/>
    </row>
    <row r="3093" spans="1:1" ht="15" x14ac:dyDescent="0.25">
      <c r="A3093"/>
    </row>
    <row r="3094" spans="1:1" ht="15" x14ac:dyDescent="0.25">
      <c r="A3094"/>
    </row>
    <row r="3095" spans="1:1" ht="15" x14ac:dyDescent="0.25">
      <c r="A3095"/>
    </row>
    <row r="3096" spans="1:1" ht="15" x14ac:dyDescent="0.25">
      <c r="A3096"/>
    </row>
    <row r="3097" spans="1:1" ht="15" x14ac:dyDescent="0.25">
      <c r="A3097"/>
    </row>
    <row r="3098" spans="1:1" ht="15" x14ac:dyDescent="0.25">
      <c r="A3098"/>
    </row>
    <row r="3099" spans="1:1" ht="15" x14ac:dyDescent="0.25">
      <c r="A3099"/>
    </row>
    <row r="3100" spans="1:1" ht="15" x14ac:dyDescent="0.25">
      <c r="A3100"/>
    </row>
    <row r="3101" spans="1:1" ht="15" x14ac:dyDescent="0.25">
      <c r="A3101"/>
    </row>
    <row r="3102" spans="1:1" ht="15" x14ac:dyDescent="0.25">
      <c r="A3102"/>
    </row>
    <row r="3103" spans="1:1" ht="15" x14ac:dyDescent="0.25">
      <c r="A3103"/>
    </row>
    <row r="3104" spans="1:1" ht="15" x14ac:dyDescent="0.25">
      <c r="A3104"/>
    </row>
    <row r="3105" spans="1:1" ht="15" x14ac:dyDescent="0.25">
      <c r="A3105"/>
    </row>
    <row r="3106" spans="1:1" ht="15" x14ac:dyDescent="0.25">
      <c r="A3106"/>
    </row>
    <row r="3107" spans="1:1" ht="15" x14ac:dyDescent="0.25">
      <c r="A3107"/>
    </row>
    <row r="3108" spans="1:1" ht="15" x14ac:dyDescent="0.25">
      <c r="A3108"/>
    </row>
    <row r="3109" spans="1:1" ht="15" x14ac:dyDescent="0.25">
      <c r="A3109"/>
    </row>
    <row r="3110" spans="1:1" ht="15" x14ac:dyDescent="0.25">
      <c r="A3110"/>
    </row>
    <row r="3111" spans="1:1" ht="15" x14ac:dyDescent="0.25">
      <c r="A3111"/>
    </row>
    <row r="3112" spans="1:1" ht="15" x14ac:dyDescent="0.25">
      <c r="A3112"/>
    </row>
    <row r="3113" spans="1:1" ht="15" x14ac:dyDescent="0.25">
      <c r="A3113"/>
    </row>
    <row r="3114" spans="1:1" ht="15" x14ac:dyDescent="0.25">
      <c r="A3114"/>
    </row>
    <row r="3115" spans="1:1" ht="15" x14ac:dyDescent="0.25">
      <c r="A3115"/>
    </row>
    <row r="3116" spans="1:1" ht="15" x14ac:dyDescent="0.25">
      <c r="A3116"/>
    </row>
    <row r="3117" spans="1:1" ht="15" x14ac:dyDescent="0.25">
      <c r="A3117"/>
    </row>
    <row r="3118" spans="1:1" ht="15" x14ac:dyDescent="0.25">
      <c r="A3118"/>
    </row>
    <row r="3119" spans="1:1" ht="15" x14ac:dyDescent="0.25">
      <c r="A3119"/>
    </row>
    <row r="3120" spans="1:1" ht="15" x14ac:dyDescent="0.25">
      <c r="A3120"/>
    </row>
    <row r="3121" spans="1:1" ht="15" x14ac:dyDescent="0.25">
      <c r="A3121"/>
    </row>
    <row r="3122" spans="1:1" ht="15" x14ac:dyDescent="0.25">
      <c r="A3122"/>
    </row>
    <row r="3123" spans="1:1" ht="15" x14ac:dyDescent="0.25">
      <c r="A3123"/>
    </row>
    <row r="3124" spans="1:1" ht="15" x14ac:dyDescent="0.25">
      <c r="A3124"/>
    </row>
    <row r="3125" spans="1:1" ht="15" x14ac:dyDescent="0.25">
      <c r="A3125"/>
    </row>
    <row r="3126" spans="1:1" ht="15" x14ac:dyDescent="0.25">
      <c r="A3126"/>
    </row>
    <row r="3127" spans="1:1" ht="15" x14ac:dyDescent="0.25">
      <c r="A3127"/>
    </row>
    <row r="3128" spans="1:1" ht="15" x14ac:dyDescent="0.25">
      <c r="A3128"/>
    </row>
    <row r="3129" spans="1:1" ht="15" x14ac:dyDescent="0.25">
      <c r="A3129"/>
    </row>
    <row r="3130" spans="1:1" ht="15" x14ac:dyDescent="0.25">
      <c r="A3130"/>
    </row>
    <row r="3131" spans="1:1" ht="15" x14ac:dyDescent="0.25">
      <c r="A3131"/>
    </row>
    <row r="3132" spans="1:1" ht="15" x14ac:dyDescent="0.25">
      <c r="A3132"/>
    </row>
    <row r="3133" spans="1:1" ht="15" x14ac:dyDescent="0.25">
      <c r="A3133"/>
    </row>
    <row r="3134" spans="1:1" ht="15" x14ac:dyDescent="0.25">
      <c r="A3134"/>
    </row>
    <row r="3135" spans="1:1" ht="15" x14ac:dyDescent="0.25">
      <c r="A3135"/>
    </row>
    <row r="3136" spans="1:1" ht="15" x14ac:dyDescent="0.25">
      <c r="A3136"/>
    </row>
    <row r="3137" spans="1:1" ht="15" x14ac:dyDescent="0.25">
      <c r="A3137"/>
    </row>
    <row r="3138" spans="1:1" ht="15" x14ac:dyDescent="0.25">
      <c r="A3138"/>
    </row>
    <row r="3139" spans="1:1" ht="15" x14ac:dyDescent="0.25">
      <c r="A3139"/>
    </row>
    <row r="3140" spans="1:1" ht="15" x14ac:dyDescent="0.25">
      <c r="A3140"/>
    </row>
    <row r="3141" spans="1:1" ht="15" x14ac:dyDescent="0.25">
      <c r="A3141"/>
    </row>
    <row r="3142" spans="1:1" ht="15" x14ac:dyDescent="0.25">
      <c r="A3142"/>
    </row>
    <row r="3143" spans="1:1" ht="15" x14ac:dyDescent="0.25">
      <c r="A3143"/>
    </row>
    <row r="3144" spans="1:1" ht="15" x14ac:dyDescent="0.25">
      <c r="A3144"/>
    </row>
    <row r="3145" spans="1:1" ht="15" x14ac:dyDescent="0.25">
      <c r="A3145"/>
    </row>
    <row r="3146" spans="1:1" ht="15" x14ac:dyDescent="0.25">
      <c r="A3146"/>
    </row>
    <row r="3147" spans="1:1" ht="15" x14ac:dyDescent="0.25">
      <c r="A3147"/>
    </row>
    <row r="3148" spans="1:1" ht="15" x14ac:dyDescent="0.25">
      <c r="A3148"/>
    </row>
    <row r="3149" spans="1:1" ht="15" x14ac:dyDescent="0.25">
      <c r="A3149"/>
    </row>
    <row r="3150" spans="1:1" ht="15" x14ac:dyDescent="0.25">
      <c r="A3150"/>
    </row>
    <row r="3151" spans="1:1" ht="15" x14ac:dyDescent="0.25">
      <c r="A3151"/>
    </row>
    <row r="3152" spans="1:1" ht="15" x14ac:dyDescent="0.25">
      <c r="A3152"/>
    </row>
    <row r="3153" spans="1:1" ht="15" x14ac:dyDescent="0.25">
      <c r="A3153"/>
    </row>
    <row r="3154" spans="1:1" ht="15" x14ac:dyDescent="0.25">
      <c r="A3154"/>
    </row>
    <row r="3155" spans="1:1" ht="15" x14ac:dyDescent="0.25">
      <c r="A3155"/>
    </row>
    <row r="3156" spans="1:1" ht="15" x14ac:dyDescent="0.25">
      <c r="A3156"/>
    </row>
    <row r="3157" spans="1:1" ht="15" x14ac:dyDescent="0.25">
      <c r="A3157"/>
    </row>
    <row r="3158" spans="1:1" ht="15" x14ac:dyDescent="0.25">
      <c r="A3158"/>
    </row>
    <row r="3159" spans="1:1" ht="15" x14ac:dyDescent="0.25">
      <c r="A3159"/>
    </row>
    <row r="3160" spans="1:1" ht="15" x14ac:dyDescent="0.25">
      <c r="A3160"/>
    </row>
    <row r="3161" spans="1:1" ht="15" x14ac:dyDescent="0.25">
      <c r="A3161"/>
    </row>
    <row r="3162" spans="1:1" ht="15" x14ac:dyDescent="0.25">
      <c r="A3162"/>
    </row>
    <row r="3163" spans="1:1" ht="15" x14ac:dyDescent="0.25">
      <c r="A3163"/>
    </row>
    <row r="3164" spans="1:1" ht="15" x14ac:dyDescent="0.25">
      <c r="A3164"/>
    </row>
    <row r="3165" spans="1:1" ht="15" x14ac:dyDescent="0.25">
      <c r="A3165"/>
    </row>
    <row r="3166" spans="1:1" ht="15" x14ac:dyDescent="0.25">
      <c r="A3166"/>
    </row>
    <row r="3167" spans="1:1" ht="15" x14ac:dyDescent="0.25">
      <c r="A3167"/>
    </row>
    <row r="3168" spans="1:1" ht="15" x14ac:dyDescent="0.25">
      <c r="A3168"/>
    </row>
    <row r="3169" spans="1:1" ht="15" x14ac:dyDescent="0.25">
      <c r="A3169"/>
    </row>
    <row r="3170" spans="1:1" ht="15" x14ac:dyDescent="0.25">
      <c r="A3170"/>
    </row>
    <row r="3171" spans="1:1" ht="15" x14ac:dyDescent="0.25">
      <c r="A3171"/>
    </row>
    <row r="3172" spans="1:1" ht="15" x14ac:dyDescent="0.25">
      <c r="A3172"/>
    </row>
    <row r="3173" spans="1:1" ht="15" x14ac:dyDescent="0.25">
      <c r="A3173"/>
    </row>
    <row r="3174" spans="1:1" ht="15" x14ac:dyDescent="0.25">
      <c r="A3174"/>
    </row>
    <row r="3175" spans="1:1" ht="15" x14ac:dyDescent="0.25">
      <c r="A3175"/>
    </row>
    <row r="3176" spans="1:1" ht="15" x14ac:dyDescent="0.25">
      <c r="A3176"/>
    </row>
    <row r="3177" spans="1:1" ht="15" x14ac:dyDescent="0.25">
      <c r="A3177"/>
    </row>
    <row r="3178" spans="1:1" ht="15" x14ac:dyDescent="0.25">
      <c r="A3178"/>
    </row>
    <row r="3179" spans="1:1" ht="15" x14ac:dyDescent="0.25">
      <c r="A3179"/>
    </row>
    <row r="3180" spans="1:1" ht="15" x14ac:dyDescent="0.25">
      <c r="A3180"/>
    </row>
    <row r="3181" spans="1:1" ht="15" x14ac:dyDescent="0.25">
      <c r="A3181"/>
    </row>
    <row r="3182" spans="1:1" ht="15" x14ac:dyDescent="0.25">
      <c r="A3182"/>
    </row>
    <row r="3183" spans="1:1" ht="15" x14ac:dyDescent="0.25">
      <c r="A3183"/>
    </row>
    <row r="3184" spans="1:1" ht="15" x14ac:dyDescent="0.25">
      <c r="A3184"/>
    </row>
    <row r="3185" spans="1:1" ht="15" x14ac:dyDescent="0.25">
      <c r="A3185"/>
    </row>
    <row r="3186" spans="1:1" ht="15" x14ac:dyDescent="0.25">
      <c r="A3186"/>
    </row>
    <row r="3187" spans="1:1" ht="15" x14ac:dyDescent="0.25">
      <c r="A3187"/>
    </row>
    <row r="3188" spans="1:1" ht="15" x14ac:dyDescent="0.25">
      <c r="A3188"/>
    </row>
    <row r="3189" spans="1:1" ht="15" x14ac:dyDescent="0.25">
      <c r="A3189"/>
    </row>
    <row r="3190" spans="1:1" ht="15" x14ac:dyDescent="0.25">
      <c r="A3190"/>
    </row>
    <row r="3191" spans="1:1" ht="15" x14ac:dyDescent="0.25">
      <c r="A3191"/>
    </row>
    <row r="3192" spans="1:1" ht="15" x14ac:dyDescent="0.25">
      <c r="A3192"/>
    </row>
    <row r="3193" spans="1:1" ht="15" x14ac:dyDescent="0.25">
      <c r="A3193"/>
    </row>
    <row r="3194" spans="1:1" ht="15" x14ac:dyDescent="0.25">
      <c r="A3194"/>
    </row>
    <row r="3195" spans="1:1" ht="15" x14ac:dyDescent="0.25">
      <c r="A3195"/>
    </row>
    <row r="3196" spans="1:1" ht="15" x14ac:dyDescent="0.25">
      <c r="A3196"/>
    </row>
    <row r="3197" spans="1:1" ht="15" x14ac:dyDescent="0.25">
      <c r="A3197"/>
    </row>
    <row r="3198" spans="1:1" ht="15" x14ac:dyDescent="0.25">
      <c r="A3198"/>
    </row>
    <row r="3199" spans="1:1" ht="15" x14ac:dyDescent="0.25">
      <c r="A3199"/>
    </row>
    <row r="3200" spans="1:1" ht="15" x14ac:dyDescent="0.25">
      <c r="A3200"/>
    </row>
    <row r="3201" spans="1:1" ht="15" x14ac:dyDescent="0.25">
      <c r="A3201"/>
    </row>
    <row r="3202" spans="1:1" ht="15" x14ac:dyDescent="0.25">
      <c r="A3202"/>
    </row>
    <row r="3203" spans="1:1" ht="15" x14ac:dyDescent="0.25">
      <c r="A3203"/>
    </row>
    <row r="3204" spans="1:1" ht="15" x14ac:dyDescent="0.25">
      <c r="A3204"/>
    </row>
    <row r="3205" spans="1:1" ht="15" x14ac:dyDescent="0.25">
      <c r="A3205"/>
    </row>
    <row r="3206" spans="1:1" ht="15" x14ac:dyDescent="0.25">
      <c r="A3206"/>
    </row>
    <row r="3207" spans="1:1" ht="15" x14ac:dyDescent="0.25">
      <c r="A3207"/>
    </row>
    <row r="3208" spans="1:1" ht="15" x14ac:dyDescent="0.25">
      <c r="A3208"/>
    </row>
    <row r="3209" spans="1:1" ht="15" x14ac:dyDescent="0.25">
      <c r="A3209"/>
    </row>
    <row r="3210" spans="1:1" ht="15" x14ac:dyDescent="0.25">
      <c r="A3210"/>
    </row>
    <row r="3211" spans="1:1" ht="15" x14ac:dyDescent="0.25">
      <c r="A3211"/>
    </row>
    <row r="3212" spans="1:1" ht="15" x14ac:dyDescent="0.25">
      <c r="A3212"/>
    </row>
    <row r="3213" spans="1:1" ht="15" x14ac:dyDescent="0.25">
      <c r="A3213"/>
    </row>
    <row r="3214" spans="1:1" ht="15" x14ac:dyDescent="0.25">
      <c r="A3214"/>
    </row>
    <row r="3215" spans="1:1" ht="15" x14ac:dyDescent="0.25">
      <c r="A3215"/>
    </row>
    <row r="3216" spans="1:1" ht="15" x14ac:dyDescent="0.25">
      <c r="A3216"/>
    </row>
    <row r="3217" spans="1:1" ht="15" x14ac:dyDescent="0.25">
      <c r="A3217"/>
    </row>
    <row r="3218" spans="1:1" ht="15" x14ac:dyDescent="0.25">
      <c r="A3218"/>
    </row>
    <row r="3219" spans="1:1" ht="15" x14ac:dyDescent="0.25">
      <c r="A3219"/>
    </row>
    <row r="3220" spans="1:1" ht="15" x14ac:dyDescent="0.25">
      <c r="A3220"/>
    </row>
    <row r="3221" spans="1:1" ht="15" x14ac:dyDescent="0.25">
      <c r="A3221"/>
    </row>
    <row r="3222" spans="1:1" ht="15" x14ac:dyDescent="0.25">
      <c r="A3222"/>
    </row>
    <row r="3223" spans="1:1" ht="15" x14ac:dyDescent="0.25">
      <c r="A3223"/>
    </row>
    <row r="3224" spans="1:1" ht="15" x14ac:dyDescent="0.25">
      <c r="A3224"/>
    </row>
    <row r="3225" spans="1:1" ht="15" x14ac:dyDescent="0.25">
      <c r="A3225"/>
    </row>
    <row r="3226" spans="1:1" ht="15" x14ac:dyDescent="0.25">
      <c r="A3226"/>
    </row>
    <row r="3227" spans="1:1" ht="15" x14ac:dyDescent="0.25">
      <c r="A3227"/>
    </row>
    <row r="3228" spans="1:1" ht="15" x14ac:dyDescent="0.25">
      <c r="A3228"/>
    </row>
    <row r="3229" spans="1:1" ht="15" x14ac:dyDescent="0.25">
      <c r="A3229"/>
    </row>
    <row r="3230" spans="1:1" ht="15" x14ac:dyDescent="0.25">
      <c r="A3230"/>
    </row>
    <row r="3231" spans="1:1" ht="15" x14ac:dyDescent="0.25">
      <c r="A3231"/>
    </row>
    <row r="3232" spans="1:1" ht="15" x14ac:dyDescent="0.25">
      <c r="A3232"/>
    </row>
    <row r="3233" spans="1:1" ht="15" x14ac:dyDescent="0.25">
      <c r="A3233"/>
    </row>
    <row r="3234" spans="1:1" ht="15" x14ac:dyDescent="0.25">
      <c r="A3234"/>
    </row>
    <row r="3235" spans="1:1" ht="15" x14ac:dyDescent="0.25">
      <c r="A3235"/>
    </row>
    <row r="3236" spans="1:1" ht="15" x14ac:dyDescent="0.25">
      <c r="A3236"/>
    </row>
    <row r="3237" spans="1:1" ht="15" x14ac:dyDescent="0.25">
      <c r="A3237"/>
    </row>
    <row r="3238" spans="1:1" ht="15" x14ac:dyDescent="0.25">
      <c r="A3238"/>
    </row>
    <row r="3239" spans="1:1" ht="15" x14ac:dyDescent="0.25">
      <c r="A3239"/>
    </row>
    <row r="3240" spans="1:1" ht="15" x14ac:dyDescent="0.25">
      <c r="A3240"/>
    </row>
    <row r="3241" spans="1:1" ht="15" x14ac:dyDescent="0.25">
      <c r="A3241"/>
    </row>
    <row r="3242" spans="1:1" ht="15" x14ac:dyDescent="0.25">
      <c r="A3242"/>
    </row>
    <row r="3243" spans="1:1" ht="15" x14ac:dyDescent="0.25">
      <c r="A3243"/>
    </row>
    <row r="3244" spans="1:1" ht="15" x14ac:dyDescent="0.25">
      <c r="A3244"/>
    </row>
    <row r="3245" spans="1:1" ht="15" x14ac:dyDescent="0.25">
      <c r="A3245"/>
    </row>
    <row r="3246" spans="1:1" ht="15" x14ac:dyDescent="0.25">
      <c r="A3246"/>
    </row>
    <row r="3247" spans="1:1" ht="15" x14ac:dyDescent="0.25">
      <c r="A3247"/>
    </row>
    <row r="3248" spans="1:1" ht="15" x14ac:dyDescent="0.25">
      <c r="A3248"/>
    </row>
    <row r="3249" spans="1:1" ht="15" x14ac:dyDescent="0.25">
      <c r="A3249"/>
    </row>
    <row r="3250" spans="1:1" ht="15" x14ac:dyDescent="0.25">
      <c r="A3250"/>
    </row>
    <row r="3251" spans="1:1" ht="15" x14ac:dyDescent="0.25">
      <c r="A3251"/>
    </row>
    <row r="3252" spans="1:1" ht="15" x14ac:dyDescent="0.25">
      <c r="A3252"/>
    </row>
    <row r="3253" spans="1:1" ht="15" x14ac:dyDescent="0.25">
      <c r="A3253"/>
    </row>
    <row r="3254" spans="1:1" ht="15" x14ac:dyDescent="0.25">
      <c r="A3254"/>
    </row>
    <row r="3255" spans="1:1" ht="15" x14ac:dyDescent="0.25">
      <c r="A3255"/>
    </row>
    <row r="3256" spans="1:1" ht="15" x14ac:dyDescent="0.25">
      <c r="A3256"/>
    </row>
    <row r="3257" spans="1:1" ht="15" x14ac:dyDescent="0.25">
      <c r="A3257"/>
    </row>
    <row r="3258" spans="1:1" ht="15" x14ac:dyDescent="0.25">
      <c r="A3258"/>
    </row>
    <row r="3259" spans="1:1" ht="15" x14ac:dyDescent="0.25">
      <c r="A3259"/>
    </row>
    <row r="3260" spans="1:1" ht="15" x14ac:dyDescent="0.25">
      <c r="A3260"/>
    </row>
    <row r="3261" spans="1:1" ht="15" x14ac:dyDescent="0.25">
      <c r="A3261"/>
    </row>
    <row r="3262" spans="1:1" ht="15" x14ac:dyDescent="0.25">
      <c r="A3262"/>
    </row>
    <row r="3263" spans="1:1" ht="15" x14ac:dyDescent="0.25">
      <c r="A3263"/>
    </row>
    <row r="3264" spans="1:1" ht="15" x14ac:dyDescent="0.25">
      <c r="A3264"/>
    </row>
    <row r="3265" spans="1:1" ht="15" x14ac:dyDescent="0.25">
      <c r="A3265"/>
    </row>
    <row r="3266" spans="1:1" ht="15" x14ac:dyDescent="0.25">
      <c r="A3266"/>
    </row>
    <row r="3267" spans="1:1" ht="15" x14ac:dyDescent="0.25">
      <c r="A3267"/>
    </row>
    <row r="3268" spans="1:1" ht="15" x14ac:dyDescent="0.25">
      <c r="A3268"/>
    </row>
    <row r="3269" spans="1:1" ht="15" x14ac:dyDescent="0.25">
      <c r="A3269"/>
    </row>
    <row r="3270" spans="1:1" ht="15" x14ac:dyDescent="0.25">
      <c r="A3270"/>
    </row>
    <row r="3271" spans="1:1" ht="15" x14ac:dyDescent="0.25">
      <c r="A3271"/>
    </row>
    <row r="3272" spans="1:1" ht="15" x14ac:dyDescent="0.25">
      <c r="A3272"/>
    </row>
    <row r="3273" spans="1:1" ht="15" x14ac:dyDescent="0.25">
      <c r="A3273"/>
    </row>
    <row r="3274" spans="1:1" ht="15" x14ac:dyDescent="0.25">
      <c r="A3274"/>
    </row>
    <row r="3275" spans="1:1" ht="15" x14ac:dyDescent="0.25">
      <c r="A3275"/>
    </row>
    <row r="3276" spans="1:1" ht="15" x14ac:dyDescent="0.25">
      <c r="A3276"/>
    </row>
    <row r="3277" spans="1:1" ht="15" x14ac:dyDescent="0.25">
      <c r="A3277"/>
    </row>
    <row r="3278" spans="1:1" ht="15" x14ac:dyDescent="0.25">
      <c r="A3278"/>
    </row>
    <row r="3279" spans="1:1" ht="15" x14ac:dyDescent="0.25">
      <c r="A3279"/>
    </row>
    <row r="3280" spans="1:1" ht="15" x14ac:dyDescent="0.25">
      <c r="A3280"/>
    </row>
    <row r="3281" spans="1:1" ht="15" x14ac:dyDescent="0.25">
      <c r="A3281"/>
    </row>
    <row r="3282" spans="1:1" ht="15" x14ac:dyDescent="0.25">
      <c r="A3282"/>
    </row>
    <row r="3283" spans="1:1" ht="15" x14ac:dyDescent="0.25">
      <c r="A3283"/>
    </row>
    <row r="3284" spans="1:1" ht="15" x14ac:dyDescent="0.25">
      <c r="A3284"/>
    </row>
    <row r="3285" spans="1:1" ht="15" x14ac:dyDescent="0.25">
      <c r="A3285"/>
    </row>
    <row r="3286" spans="1:1" ht="15" x14ac:dyDescent="0.25">
      <c r="A3286"/>
    </row>
    <row r="3287" spans="1:1" ht="15" x14ac:dyDescent="0.25">
      <c r="A3287"/>
    </row>
    <row r="3288" spans="1:1" ht="15" x14ac:dyDescent="0.25">
      <c r="A3288"/>
    </row>
    <row r="3289" spans="1:1" ht="15" x14ac:dyDescent="0.25">
      <c r="A3289"/>
    </row>
    <row r="3290" spans="1:1" ht="15" x14ac:dyDescent="0.25">
      <c r="A3290"/>
    </row>
    <row r="3291" spans="1:1" ht="15" x14ac:dyDescent="0.25">
      <c r="A3291"/>
    </row>
    <row r="3292" spans="1:1" ht="15" x14ac:dyDescent="0.25">
      <c r="A3292"/>
    </row>
    <row r="3293" spans="1:1" ht="15" x14ac:dyDescent="0.25">
      <c r="A3293"/>
    </row>
    <row r="3294" spans="1:1" ht="15" x14ac:dyDescent="0.25">
      <c r="A3294"/>
    </row>
    <row r="3295" spans="1:1" ht="15" x14ac:dyDescent="0.25">
      <c r="A3295"/>
    </row>
    <row r="3296" spans="1:1" ht="15" x14ac:dyDescent="0.25">
      <c r="A3296"/>
    </row>
    <row r="3297" spans="1:1" ht="15" x14ac:dyDescent="0.25">
      <c r="A3297"/>
    </row>
    <row r="3298" spans="1:1" ht="15" x14ac:dyDescent="0.25">
      <c r="A3298"/>
    </row>
    <row r="3299" spans="1:1" ht="15" x14ac:dyDescent="0.25">
      <c r="A3299"/>
    </row>
    <row r="3300" spans="1:1" ht="15" x14ac:dyDescent="0.25">
      <c r="A3300"/>
    </row>
    <row r="3301" spans="1:1" ht="15" x14ac:dyDescent="0.25">
      <c r="A3301"/>
    </row>
    <row r="3302" spans="1:1" ht="15" x14ac:dyDescent="0.25">
      <c r="A3302"/>
    </row>
    <row r="3303" spans="1:1" ht="15" x14ac:dyDescent="0.25">
      <c r="A3303"/>
    </row>
    <row r="3304" spans="1:1" ht="15" x14ac:dyDescent="0.25">
      <c r="A3304"/>
    </row>
    <row r="3305" spans="1:1" ht="15" x14ac:dyDescent="0.25">
      <c r="A3305"/>
    </row>
    <row r="3306" spans="1:1" ht="15" x14ac:dyDescent="0.25">
      <c r="A3306"/>
    </row>
    <row r="3307" spans="1:1" ht="15" x14ac:dyDescent="0.25">
      <c r="A3307"/>
    </row>
    <row r="3308" spans="1:1" ht="15" x14ac:dyDescent="0.25">
      <c r="A3308"/>
    </row>
    <row r="3309" spans="1:1" ht="15" x14ac:dyDescent="0.25">
      <c r="A3309"/>
    </row>
    <row r="3310" spans="1:1" ht="15" x14ac:dyDescent="0.25">
      <c r="A3310"/>
    </row>
    <row r="3311" spans="1:1" ht="15" x14ac:dyDescent="0.25">
      <c r="A3311"/>
    </row>
    <row r="3312" spans="1:1" ht="15" x14ac:dyDescent="0.25">
      <c r="A3312"/>
    </row>
    <row r="3313" spans="1:1" ht="15" x14ac:dyDescent="0.25">
      <c r="A3313"/>
    </row>
    <row r="3314" spans="1:1" ht="15" x14ac:dyDescent="0.25">
      <c r="A3314"/>
    </row>
    <row r="3315" spans="1:1" ht="15" x14ac:dyDescent="0.25">
      <c r="A3315"/>
    </row>
    <row r="3316" spans="1:1" ht="15" x14ac:dyDescent="0.25">
      <c r="A3316"/>
    </row>
    <row r="3317" spans="1:1" ht="15" x14ac:dyDescent="0.25">
      <c r="A3317"/>
    </row>
    <row r="3318" spans="1:1" ht="15" x14ac:dyDescent="0.25">
      <c r="A3318"/>
    </row>
    <row r="3319" spans="1:1" ht="15" x14ac:dyDescent="0.25">
      <c r="A3319"/>
    </row>
    <row r="3320" spans="1:1" ht="15" x14ac:dyDescent="0.25">
      <c r="A3320"/>
    </row>
    <row r="3321" spans="1:1" ht="15" x14ac:dyDescent="0.25">
      <c r="A3321"/>
    </row>
    <row r="3322" spans="1:1" ht="15" x14ac:dyDescent="0.25">
      <c r="A3322"/>
    </row>
    <row r="3323" spans="1:1" ht="15" x14ac:dyDescent="0.25">
      <c r="A3323"/>
    </row>
    <row r="3324" spans="1:1" ht="15" x14ac:dyDescent="0.25">
      <c r="A3324"/>
    </row>
    <row r="3325" spans="1:1" ht="15" x14ac:dyDescent="0.25">
      <c r="A3325"/>
    </row>
    <row r="3326" spans="1:1" ht="15" x14ac:dyDescent="0.25">
      <c r="A3326"/>
    </row>
    <row r="3327" spans="1:1" ht="15" x14ac:dyDescent="0.25">
      <c r="A3327"/>
    </row>
    <row r="3328" spans="1:1" ht="15" x14ac:dyDescent="0.25">
      <c r="A3328"/>
    </row>
    <row r="3329" spans="1:1" ht="15" x14ac:dyDescent="0.25">
      <c r="A3329"/>
    </row>
    <row r="3330" spans="1:1" ht="15" x14ac:dyDescent="0.25">
      <c r="A3330"/>
    </row>
    <row r="3331" spans="1:1" ht="15" x14ac:dyDescent="0.25">
      <c r="A3331"/>
    </row>
    <row r="3332" spans="1:1" ht="15" x14ac:dyDescent="0.25">
      <c r="A3332"/>
    </row>
    <row r="3333" spans="1:1" ht="15" x14ac:dyDescent="0.25">
      <c r="A3333"/>
    </row>
    <row r="3334" spans="1:1" ht="15" x14ac:dyDescent="0.25">
      <c r="A3334"/>
    </row>
    <row r="3335" spans="1:1" ht="15" x14ac:dyDescent="0.25">
      <c r="A3335"/>
    </row>
    <row r="3336" spans="1:1" ht="15" x14ac:dyDescent="0.25">
      <c r="A3336"/>
    </row>
    <row r="3337" spans="1:1" ht="15" x14ac:dyDescent="0.25">
      <c r="A3337"/>
    </row>
    <row r="3338" spans="1:1" ht="15" x14ac:dyDescent="0.25">
      <c r="A3338"/>
    </row>
    <row r="3339" spans="1:1" ht="15" x14ac:dyDescent="0.25">
      <c r="A3339"/>
    </row>
    <row r="3340" spans="1:1" ht="15" x14ac:dyDescent="0.25">
      <c r="A3340"/>
    </row>
    <row r="3341" spans="1:1" ht="15" x14ac:dyDescent="0.25">
      <c r="A3341"/>
    </row>
    <row r="3342" spans="1:1" ht="15" x14ac:dyDescent="0.25">
      <c r="A3342"/>
    </row>
    <row r="3343" spans="1:1" ht="15" x14ac:dyDescent="0.25">
      <c r="A3343"/>
    </row>
    <row r="3344" spans="1:1" ht="15" x14ac:dyDescent="0.25">
      <c r="A3344"/>
    </row>
    <row r="3345" spans="1:1" ht="15" x14ac:dyDescent="0.25">
      <c r="A3345"/>
    </row>
    <row r="3346" spans="1:1" ht="15" x14ac:dyDescent="0.25">
      <c r="A3346"/>
    </row>
    <row r="3347" spans="1:1" ht="15" x14ac:dyDescent="0.25">
      <c r="A3347"/>
    </row>
    <row r="3348" spans="1:1" ht="15" x14ac:dyDescent="0.25">
      <c r="A3348"/>
    </row>
    <row r="3349" spans="1:1" ht="15" x14ac:dyDescent="0.25">
      <c r="A3349"/>
    </row>
    <row r="3350" spans="1:1" ht="15" x14ac:dyDescent="0.25">
      <c r="A3350"/>
    </row>
    <row r="3351" spans="1:1" ht="15" x14ac:dyDescent="0.25">
      <c r="A3351"/>
    </row>
    <row r="3352" spans="1:1" ht="15" x14ac:dyDescent="0.25">
      <c r="A3352"/>
    </row>
    <row r="3353" spans="1:1" ht="15" x14ac:dyDescent="0.25">
      <c r="A3353"/>
    </row>
    <row r="3354" spans="1:1" ht="15" x14ac:dyDescent="0.25">
      <c r="A3354"/>
    </row>
    <row r="3355" spans="1:1" ht="15" x14ac:dyDescent="0.25">
      <c r="A3355"/>
    </row>
    <row r="3356" spans="1:1" ht="15" x14ac:dyDescent="0.25">
      <c r="A3356"/>
    </row>
    <row r="3357" spans="1:1" ht="15" x14ac:dyDescent="0.25">
      <c r="A3357"/>
    </row>
    <row r="3358" spans="1:1" ht="15" x14ac:dyDescent="0.25">
      <c r="A3358"/>
    </row>
    <row r="3359" spans="1:1" ht="15" x14ac:dyDescent="0.25">
      <c r="A3359"/>
    </row>
    <row r="3360" spans="1:1" ht="15" x14ac:dyDescent="0.25">
      <c r="A3360"/>
    </row>
    <row r="3361" spans="1:1" ht="15" x14ac:dyDescent="0.25">
      <c r="A3361"/>
    </row>
    <row r="3362" spans="1:1" ht="15" x14ac:dyDescent="0.25">
      <c r="A3362"/>
    </row>
    <row r="3363" spans="1:1" ht="15" x14ac:dyDescent="0.25">
      <c r="A3363"/>
    </row>
    <row r="3364" spans="1:1" ht="15" x14ac:dyDescent="0.25">
      <c r="A3364"/>
    </row>
    <row r="3365" spans="1:1" ht="15" x14ac:dyDescent="0.25">
      <c r="A3365"/>
    </row>
    <row r="3366" spans="1:1" ht="15" x14ac:dyDescent="0.25">
      <c r="A3366"/>
    </row>
    <row r="3367" spans="1:1" ht="15" x14ac:dyDescent="0.25">
      <c r="A3367"/>
    </row>
    <row r="3368" spans="1:1" ht="15" x14ac:dyDescent="0.25">
      <c r="A3368"/>
    </row>
    <row r="3369" spans="1:1" ht="15" x14ac:dyDescent="0.25">
      <c r="A3369"/>
    </row>
    <row r="3370" spans="1:1" ht="15" x14ac:dyDescent="0.25">
      <c r="A3370"/>
    </row>
    <row r="3371" spans="1:1" ht="15" x14ac:dyDescent="0.25">
      <c r="A3371"/>
    </row>
    <row r="3372" spans="1:1" ht="15" x14ac:dyDescent="0.25">
      <c r="A3372"/>
    </row>
    <row r="3373" spans="1:1" ht="15" x14ac:dyDescent="0.25">
      <c r="A3373"/>
    </row>
    <row r="3374" spans="1:1" ht="15" x14ac:dyDescent="0.25">
      <c r="A3374"/>
    </row>
    <row r="3375" spans="1:1" ht="15" x14ac:dyDescent="0.25">
      <c r="A3375"/>
    </row>
    <row r="3376" spans="1:1" ht="15" x14ac:dyDescent="0.25">
      <c r="A3376"/>
    </row>
    <row r="3377" spans="1:1" ht="15" x14ac:dyDescent="0.25">
      <c r="A3377"/>
    </row>
    <row r="3378" spans="1:1" ht="15" x14ac:dyDescent="0.25">
      <c r="A3378"/>
    </row>
    <row r="3379" spans="1:1" ht="15" x14ac:dyDescent="0.25">
      <c r="A3379"/>
    </row>
    <row r="3380" spans="1:1" ht="15" x14ac:dyDescent="0.25">
      <c r="A3380"/>
    </row>
    <row r="3381" spans="1:1" ht="15" x14ac:dyDescent="0.25">
      <c r="A3381"/>
    </row>
    <row r="3382" spans="1:1" ht="15" x14ac:dyDescent="0.25">
      <c r="A3382"/>
    </row>
    <row r="3383" spans="1:1" ht="15" x14ac:dyDescent="0.25">
      <c r="A3383"/>
    </row>
    <row r="3384" spans="1:1" ht="15" x14ac:dyDescent="0.25">
      <c r="A3384"/>
    </row>
    <row r="3385" spans="1:1" ht="15" x14ac:dyDescent="0.25">
      <c r="A3385"/>
    </row>
    <row r="3386" spans="1:1" ht="15" x14ac:dyDescent="0.25">
      <c r="A3386"/>
    </row>
    <row r="3387" spans="1:1" ht="15" x14ac:dyDescent="0.25">
      <c r="A3387"/>
    </row>
    <row r="3388" spans="1:1" ht="15" x14ac:dyDescent="0.25">
      <c r="A3388"/>
    </row>
    <row r="3389" spans="1:1" ht="15" x14ac:dyDescent="0.25">
      <c r="A3389"/>
    </row>
    <row r="3390" spans="1:1" ht="15" x14ac:dyDescent="0.25">
      <c r="A3390"/>
    </row>
    <row r="3391" spans="1:1" ht="15" x14ac:dyDescent="0.25">
      <c r="A3391"/>
    </row>
    <row r="3392" spans="1:1" ht="15" x14ac:dyDescent="0.25">
      <c r="A3392"/>
    </row>
    <row r="3393" spans="1:1" ht="15" x14ac:dyDescent="0.25">
      <c r="A3393"/>
    </row>
    <row r="3394" spans="1:1" ht="15" x14ac:dyDescent="0.25">
      <c r="A3394"/>
    </row>
    <row r="3395" spans="1:1" ht="15" x14ac:dyDescent="0.25">
      <c r="A3395"/>
    </row>
    <row r="3396" spans="1:1" ht="15" x14ac:dyDescent="0.25">
      <c r="A3396"/>
    </row>
    <row r="3397" spans="1:1" ht="15" x14ac:dyDescent="0.25">
      <c r="A3397"/>
    </row>
    <row r="3398" spans="1:1" ht="15" x14ac:dyDescent="0.25">
      <c r="A3398"/>
    </row>
    <row r="3399" spans="1:1" ht="15" x14ac:dyDescent="0.25">
      <c r="A3399"/>
    </row>
    <row r="3400" spans="1:1" ht="15" x14ac:dyDescent="0.25">
      <c r="A3400"/>
    </row>
    <row r="3401" spans="1:1" ht="15" x14ac:dyDescent="0.25">
      <c r="A3401"/>
    </row>
    <row r="3402" spans="1:1" ht="15" x14ac:dyDescent="0.25">
      <c r="A3402"/>
    </row>
    <row r="3403" spans="1:1" ht="15" x14ac:dyDescent="0.25">
      <c r="A3403"/>
    </row>
    <row r="3404" spans="1:1" ht="15" x14ac:dyDescent="0.25">
      <c r="A3404"/>
    </row>
    <row r="3405" spans="1:1" ht="15" x14ac:dyDescent="0.25">
      <c r="A3405"/>
    </row>
    <row r="3406" spans="1:1" ht="15" x14ac:dyDescent="0.25">
      <c r="A3406"/>
    </row>
    <row r="3407" spans="1:1" ht="15" x14ac:dyDescent="0.25">
      <c r="A3407"/>
    </row>
    <row r="3408" spans="1:1" ht="15" x14ac:dyDescent="0.25">
      <c r="A3408"/>
    </row>
    <row r="3409" spans="1:1" ht="15" x14ac:dyDescent="0.25">
      <c r="A3409"/>
    </row>
    <row r="3410" spans="1:1" ht="15" x14ac:dyDescent="0.25">
      <c r="A3410"/>
    </row>
    <row r="3411" spans="1:1" ht="15" x14ac:dyDescent="0.25">
      <c r="A3411"/>
    </row>
    <row r="3412" spans="1:1" ht="15" x14ac:dyDescent="0.25">
      <c r="A3412"/>
    </row>
    <row r="3413" spans="1:1" ht="15" x14ac:dyDescent="0.25">
      <c r="A3413"/>
    </row>
    <row r="3414" spans="1:1" ht="15" x14ac:dyDescent="0.25">
      <c r="A3414"/>
    </row>
    <row r="3415" spans="1:1" ht="15" x14ac:dyDescent="0.25">
      <c r="A3415"/>
    </row>
    <row r="3416" spans="1:1" ht="15" x14ac:dyDescent="0.25">
      <c r="A3416"/>
    </row>
    <row r="3417" spans="1:1" ht="15" x14ac:dyDescent="0.25">
      <c r="A3417"/>
    </row>
    <row r="3418" spans="1:1" ht="15" x14ac:dyDescent="0.25">
      <c r="A3418"/>
    </row>
    <row r="3419" spans="1:1" ht="15" x14ac:dyDescent="0.25">
      <c r="A3419"/>
    </row>
    <row r="3420" spans="1:1" ht="15" x14ac:dyDescent="0.25">
      <c r="A3420"/>
    </row>
    <row r="3421" spans="1:1" ht="15" x14ac:dyDescent="0.25">
      <c r="A3421"/>
    </row>
    <row r="3422" spans="1:1" ht="15" x14ac:dyDescent="0.25">
      <c r="A3422"/>
    </row>
    <row r="3423" spans="1:1" ht="15" x14ac:dyDescent="0.25">
      <c r="A3423"/>
    </row>
    <row r="3424" spans="1:1" ht="15" x14ac:dyDescent="0.25">
      <c r="A3424"/>
    </row>
    <row r="3425" spans="1:1" ht="15" x14ac:dyDescent="0.25">
      <c r="A3425"/>
    </row>
    <row r="3426" spans="1:1" ht="15" x14ac:dyDescent="0.25">
      <c r="A3426"/>
    </row>
    <row r="3427" spans="1:1" ht="15" x14ac:dyDescent="0.25">
      <c r="A3427"/>
    </row>
    <row r="3428" spans="1:1" ht="15" x14ac:dyDescent="0.25">
      <c r="A3428"/>
    </row>
    <row r="3429" spans="1:1" ht="15" x14ac:dyDescent="0.25">
      <c r="A3429"/>
    </row>
    <row r="3430" spans="1:1" ht="15" x14ac:dyDescent="0.25">
      <c r="A3430"/>
    </row>
    <row r="3431" spans="1:1" ht="15" x14ac:dyDescent="0.25">
      <c r="A3431"/>
    </row>
    <row r="3432" spans="1:1" ht="15" x14ac:dyDescent="0.25">
      <c r="A3432"/>
    </row>
    <row r="3433" spans="1:1" ht="15" x14ac:dyDescent="0.25">
      <c r="A3433"/>
    </row>
    <row r="3434" spans="1:1" ht="15" x14ac:dyDescent="0.25">
      <c r="A3434"/>
    </row>
    <row r="3435" spans="1:1" ht="15" x14ac:dyDescent="0.25">
      <c r="A3435"/>
    </row>
    <row r="3436" spans="1:1" ht="15" x14ac:dyDescent="0.25">
      <c r="A3436"/>
    </row>
    <row r="3437" spans="1:1" ht="15" x14ac:dyDescent="0.25">
      <c r="A3437"/>
    </row>
    <row r="3438" spans="1:1" ht="15" x14ac:dyDescent="0.25">
      <c r="A3438"/>
    </row>
    <row r="3439" spans="1:1" ht="15" x14ac:dyDescent="0.25">
      <c r="A3439"/>
    </row>
    <row r="3440" spans="1:1" ht="15" x14ac:dyDescent="0.25">
      <c r="A3440"/>
    </row>
    <row r="3441" spans="1:1" ht="15" x14ac:dyDescent="0.25">
      <c r="A3441"/>
    </row>
    <row r="3442" spans="1:1" ht="15" x14ac:dyDescent="0.25">
      <c r="A3442"/>
    </row>
    <row r="3443" spans="1:1" ht="15" x14ac:dyDescent="0.25">
      <c r="A3443"/>
    </row>
    <row r="3444" spans="1:1" ht="15" x14ac:dyDescent="0.25">
      <c r="A3444"/>
    </row>
    <row r="3445" spans="1:1" ht="15" x14ac:dyDescent="0.25">
      <c r="A3445"/>
    </row>
    <row r="3446" spans="1:1" ht="15" x14ac:dyDescent="0.25">
      <c r="A3446"/>
    </row>
    <row r="3447" spans="1:1" ht="15" x14ac:dyDescent="0.25">
      <c r="A3447"/>
    </row>
    <row r="3448" spans="1:1" ht="15" x14ac:dyDescent="0.25">
      <c r="A3448"/>
    </row>
    <row r="3449" spans="1:1" ht="15" x14ac:dyDescent="0.25">
      <c r="A3449"/>
    </row>
    <row r="3450" spans="1:1" ht="15" x14ac:dyDescent="0.25">
      <c r="A3450"/>
    </row>
    <row r="3451" spans="1:1" ht="15" x14ac:dyDescent="0.25">
      <c r="A3451"/>
    </row>
    <row r="3452" spans="1:1" ht="15" x14ac:dyDescent="0.25">
      <c r="A3452"/>
    </row>
    <row r="3453" spans="1:1" ht="15" x14ac:dyDescent="0.25">
      <c r="A3453"/>
    </row>
    <row r="3454" spans="1:1" ht="15" x14ac:dyDescent="0.25">
      <c r="A3454"/>
    </row>
    <row r="3455" spans="1:1" ht="15" x14ac:dyDescent="0.25">
      <c r="A3455"/>
    </row>
    <row r="3456" spans="1:1" ht="15" x14ac:dyDescent="0.25">
      <c r="A3456"/>
    </row>
    <row r="3457" spans="1:1" ht="15" x14ac:dyDescent="0.25">
      <c r="A3457"/>
    </row>
    <row r="3458" spans="1:1" ht="15" x14ac:dyDescent="0.25">
      <c r="A3458"/>
    </row>
    <row r="3459" spans="1:1" ht="15" x14ac:dyDescent="0.25">
      <c r="A3459"/>
    </row>
    <row r="3460" spans="1:1" ht="15" x14ac:dyDescent="0.25">
      <c r="A3460"/>
    </row>
    <row r="3461" spans="1:1" ht="15" x14ac:dyDescent="0.25">
      <c r="A3461"/>
    </row>
    <row r="3462" spans="1:1" ht="15" x14ac:dyDescent="0.25">
      <c r="A3462"/>
    </row>
    <row r="3463" spans="1:1" ht="15" x14ac:dyDescent="0.25">
      <c r="A3463"/>
    </row>
    <row r="3464" spans="1:1" ht="15" x14ac:dyDescent="0.25">
      <c r="A3464"/>
    </row>
    <row r="3465" spans="1:1" ht="15" x14ac:dyDescent="0.25">
      <c r="A3465"/>
    </row>
    <row r="3466" spans="1:1" ht="15" x14ac:dyDescent="0.25">
      <c r="A3466"/>
    </row>
    <row r="3467" spans="1:1" ht="15" x14ac:dyDescent="0.25">
      <c r="A3467"/>
    </row>
    <row r="3468" spans="1:1" ht="15" x14ac:dyDescent="0.25">
      <c r="A3468"/>
    </row>
    <row r="3469" spans="1:1" ht="15" x14ac:dyDescent="0.25">
      <c r="A3469"/>
    </row>
    <row r="3470" spans="1:1" ht="15" x14ac:dyDescent="0.25">
      <c r="A3470"/>
    </row>
    <row r="3471" spans="1:1" ht="15" x14ac:dyDescent="0.25">
      <c r="A3471"/>
    </row>
    <row r="3472" spans="1:1" ht="15" x14ac:dyDescent="0.25">
      <c r="A3472"/>
    </row>
    <row r="3473" spans="1:1" ht="15" x14ac:dyDescent="0.25">
      <c r="A3473"/>
    </row>
    <row r="3474" spans="1:1" ht="15" x14ac:dyDescent="0.25">
      <c r="A3474"/>
    </row>
    <row r="3475" spans="1:1" ht="15" x14ac:dyDescent="0.25">
      <c r="A3475"/>
    </row>
    <row r="3476" spans="1:1" ht="15" x14ac:dyDescent="0.25">
      <c r="A3476"/>
    </row>
    <row r="3477" spans="1:1" ht="15" x14ac:dyDescent="0.25">
      <c r="A3477"/>
    </row>
    <row r="3478" spans="1:1" ht="15" x14ac:dyDescent="0.25">
      <c r="A3478"/>
    </row>
    <row r="3479" spans="1:1" ht="15" x14ac:dyDescent="0.25">
      <c r="A3479"/>
    </row>
    <row r="3480" spans="1:1" ht="15" x14ac:dyDescent="0.25">
      <c r="A3480"/>
    </row>
    <row r="3481" spans="1:1" ht="15" x14ac:dyDescent="0.25">
      <c r="A3481"/>
    </row>
    <row r="3482" spans="1:1" ht="15" x14ac:dyDescent="0.25">
      <c r="A3482"/>
    </row>
    <row r="3483" spans="1:1" ht="15" x14ac:dyDescent="0.25">
      <c r="A3483"/>
    </row>
    <row r="3484" spans="1:1" ht="15" x14ac:dyDescent="0.25">
      <c r="A3484"/>
    </row>
    <row r="3485" spans="1:1" ht="15" x14ac:dyDescent="0.25">
      <c r="A3485"/>
    </row>
    <row r="3486" spans="1:1" ht="15" x14ac:dyDescent="0.25">
      <c r="A3486"/>
    </row>
    <row r="3487" spans="1:1" ht="15" x14ac:dyDescent="0.25">
      <c r="A3487"/>
    </row>
    <row r="3488" spans="1:1" ht="15" x14ac:dyDescent="0.25">
      <c r="A3488"/>
    </row>
    <row r="3489" spans="1:1" ht="15" x14ac:dyDescent="0.25">
      <c r="A3489"/>
    </row>
    <row r="3490" spans="1:1" ht="15" x14ac:dyDescent="0.25">
      <c r="A3490"/>
    </row>
    <row r="3491" spans="1:1" ht="15" x14ac:dyDescent="0.25">
      <c r="A3491"/>
    </row>
    <row r="3492" spans="1:1" ht="15" x14ac:dyDescent="0.25">
      <c r="A3492"/>
    </row>
    <row r="3493" spans="1:1" ht="15" x14ac:dyDescent="0.25">
      <c r="A3493"/>
    </row>
    <row r="3494" spans="1:1" ht="15" x14ac:dyDescent="0.25">
      <c r="A3494"/>
    </row>
    <row r="3495" spans="1:1" ht="15" x14ac:dyDescent="0.25">
      <c r="A3495"/>
    </row>
    <row r="3496" spans="1:1" ht="15" x14ac:dyDescent="0.25">
      <c r="A3496"/>
    </row>
    <row r="3497" spans="1:1" ht="15" x14ac:dyDescent="0.25">
      <c r="A3497"/>
    </row>
    <row r="3498" spans="1:1" ht="15" x14ac:dyDescent="0.25">
      <c r="A3498"/>
    </row>
    <row r="3499" spans="1:1" ht="15" x14ac:dyDescent="0.25">
      <c r="A3499"/>
    </row>
    <row r="3500" spans="1:1" ht="15" x14ac:dyDescent="0.25">
      <c r="A3500"/>
    </row>
    <row r="3501" spans="1:1" ht="15" x14ac:dyDescent="0.25">
      <c r="A3501"/>
    </row>
    <row r="3502" spans="1:1" ht="15" x14ac:dyDescent="0.25">
      <c r="A3502"/>
    </row>
    <row r="3503" spans="1:1" ht="15" x14ac:dyDescent="0.25">
      <c r="A3503"/>
    </row>
    <row r="3504" spans="1:1" ht="15" x14ac:dyDescent="0.25">
      <c r="A3504"/>
    </row>
    <row r="3505" spans="1:1" ht="15" x14ac:dyDescent="0.25">
      <c r="A3505"/>
    </row>
    <row r="3506" spans="1:1" ht="15" x14ac:dyDescent="0.25">
      <c r="A3506"/>
    </row>
    <row r="3507" spans="1:1" ht="15" x14ac:dyDescent="0.25">
      <c r="A3507"/>
    </row>
    <row r="3508" spans="1:1" ht="15" x14ac:dyDescent="0.25">
      <c r="A3508"/>
    </row>
    <row r="3509" spans="1:1" ht="15" x14ac:dyDescent="0.25">
      <c r="A3509"/>
    </row>
    <row r="3510" spans="1:1" ht="15" x14ac:dyDescent="0.25">
      <c r="A3510"/>
    </row>
    <row r="3511" spans="1:1" ht="15" x14ac:dyDescent="0.25">
      <c r="A3511"/>
    </row>
    <row r="3512" spans="1:1" ht="15" x14ac:dyDescent="0.25">
      <c r="A3512"/>
    </row>
    <row r="3513" spans="1:1" ht="15" x14ac:dyDescent="0.25">
      <c r="A3513"/>
    </row>
    <row r="3514" spans="1:1" ht="15" x14ac:dyDescent="0.25">
      <c r="A3514"/>
    </row>
    <row r="3515" spans="1:1" ht="15" x14ac:dyDescent="0.25">
      <c r="A3515"/>
    </row>
    <row r="3516" spans="1:1" ht="15" x14ac:dyDescent="0.25">
      <c r="A3516"/>
    </row>
    <row r="3517" spans="1:1" ht="15" x14ac:dyDescent="0.25">
      <c r="A3517"/>
    </row>
    <row r="3518" spans="1:1" ht="15" x14ac:dyDescent="0.25">
      <c r="A3518"/>
    </row>
    <row r="3519" spans="1:1" ht="15" x14ac:dyDescent="0.25">
      <c r="A3519"/>
    </row>
    <row r="3520" spans="1:1" ht="15" x14ac:dyDescent="0.25">
      <c r="A3520"/>
    </row>
    <row r="3521" spans="1:1" ht="15" x14ac:dyDescent="0.25">
      <c r="A3521"/>
    </row>
    <row r="3522" spans="1:1" ht="15" x14ac:dyDescent="0.25">
      <c r="A3522"/>
    </row>
    <row r="3523" spans="1:1" ht="15" x14ac:dyDescent="0.25">
      <c r="A3523"/>
    </row>
    <row r="3524" spans="1:1" ht="15" x14ac:dyDescent="0.25">
      <c r="A3524"/>
    </row>
    <row r="3525" spans="1:1" ht="15" x14ac:dyDescent="0.25">
      <c r="A3525"/>
    </row>
    <row r="3526" spans="1:1" ht="15" x14ac:dyDescent="0.25">
      <c r="A3526"/>
    </row>
    <row r="3527" spans="1:1" ht="15" x14ac:dyDescent="0.25">
      <c r="A3527"/>
    </row>
    <row r="3528" spans="1:1" ht="15" x14ac:dyDescent="0.25">
      <c r="A3528"/>
    </row>
    <row r="3529" spans="1:1" ht="15" x14ac:dyDescent="0.25">
      <c r="A3529"/>
    </row>
    <row r="3530" spans="1:1" ht="15" x14ac:dyDescent="0.25">
      <c r="A3530"/>
    </row>
    <row r="3531" spans="1:1" ht="15" x14ac:dyDescent="0.25">
      <c r="A3531"/>
    </row>
    <row r="3532" spans="1:1" ht="15" x14ac:dyDescent="0.25">
      <c r="A3532"/>
    </row>
    <row r="3533" spans="1:1" ht="15" x14ac:dyDescent="0.25">
      <c r="A3533"/>
    </row>
    <row r="3534" spans="1:1" ht="15" x14ac:dyDescent="0.25">
      <c r="A3534"/>
    </row>
    <row r="3535" spans="1:1" ht="15" x14ac:dyDescent="0.25">
      <c r="A3535"/>
    </row>
    <row r="3536" spans="1:1" ht="15" x14ac:dyDescent="0.25">
      <c r="A3536"/>
    </row>
    <row r="3537" spans="1:1" ht="15" x14ac:dyDescent="0.25">
      <c r="A3537"/>
    </row>
    <row r="3538" spans="1:1" ht="15" x14ac:dyDescent="0.25">
      <c r="A3538"/>
    </row>
    <row r="3539" spans="1:1" ht="15" x14ac:dyDescent="0.25">
      <c r="A3539"/>
    </row>
    <row r="3540" spans="1:1" ht="15" x14ac:dyDescent="0.25">
      <c r="A3540"/>
    </row>
    <row r="3541" spans="1:1" ht="15" x14ac:dyDescent="0.25">
      <c r="A3541"/>
    </row>
    <row r="3542" spans="1:1" ht="15" x14ac:dyDescent="0.25">
      <c r="A3542"/>
    </row>
    <row r="3543" spans="1:1" ht="15" x14ac:dyDescent="0.25">
      <c r="A3543"/>
    </row>
    <row r="3544" spans="1:1" ht="15" x14ac:dyDescent="0.25">
      <c r="A3544"/>
    </row>
    <row r="3545" spans="1:1" ht="15" x14ac:dyDescent="0.25">
      <c r="A3545"/>
    </row>
    <row r="3546" spans="1:1" ht="15" x14ac:dyDescent="0.25">
      <c r="A3546"/>
    </row>
    <row r="3547" spans="1:1" ht="15" x14ac:dyDescent="0.25">
      <c r="A3547"/>
    </row>
    <row r="3548" spans="1:1" ht="15" x14ac:dyDescent="0.25">
      <c r="A3548"/>
    </row>
    <row r="3549" spans="1:1" ht="15" x14ac:dyDescent="0.25">
      <c r="A3549"/>
    </row>
    <row r="3550" spans="1:1" ht="15" x14ac:dyDescent="0.25">
      <c r="A3550"/>
    </row>
    <row r="3551" spans="1:1" ht="15" x14ac:dyDescent="0.25">
      <c r="A3551"/>
    </row>
    <row r="3552" spans="1:1" ht="15" x14ac:dyDescent="0.25">
      <c r="A3552"/>
    </row>
    <row r="3553" spans="1:1" ht="15" x14ac:dyDescent="0.25">
      <c r="A3553"/>
    </row>
    <row r="3554" spans="1:1" ht="15" x14ac:dyDescent="0.25">
      <c r="A3554"/>
    </row>
    <row r="3555" spans="1:1" ht="15" x14ac:dyDescent="0.25">
      <c r="A3555"/>
    </row>
    <row r="3556" spans="1:1" ht="15" x14ac:dyDescent="0.25">
      <c r="A3556"/>
    </row>
    <row r="3557" spans="1:1" ht="15" x14ac:dyDescent="0.25">
      <c r="A3557"/>
    </row>
    <row r="3558" spans="1:1" ht="15" x14ac:dyDescent="0.25">
      <c r="A3558"/>
    </row>
    <row r="3559" spans="1:1" ht="15" x14ac:dyDescent="0.25">
      <c r="A3559"/>
    </row>
    <row r="3560" spans="1:1" ht="15" x14ac:dyDescent="0.25">
      <c r="A3560"/>
    </row>
    <row r="3561" spans="1:1" ht="15" x14ac:dyDescent="0.25">
      <c r="A3561"/>
    </row>
    <row r="3562" spans="1:1" ht="15" x14ac:dyDescent="0.25">
      <c r="A3562"/>
    </row>
    <row r="3563" spans="1:1" ht="15" x14ac:dyDescent="0.25">
      <c r="A3563"/>
    </row>
    <row r="3564" spans="1:1" ht="15" x14ac:dyDescent="0.25">
      <c r="A3564"/>
    </row>
    <row r="3565" spans="1:1" ht="15" x14ac:dyDescent="0.25">
      <c r="A3565"/>
    </row>
    <row r="3566" spans="1:1" ht="15" x14ac:dyDescent="0.25">
      <c r="A3566"/>
    </row>
    <row r="3567" spans="1:1" ht="15" x14ac:dyDescent="0.25">
      <c r="A3567"/>
    </row>
    <row r="3568" spans="1:1" ht="15" x14ac:dyDescent="0.25">
      <c r="A3568"/>
    </row>
    <row r="3569" spans="1:1" ht="15" x14ac:dyDescent="0.25">
      <c r="A3569"/>
    </row>
    <row r="3570" spans="1:1" ht="15" x14ac:dyDescent="0.25">
      <c r="A3570"/>
    </row>
    <row r="3571" spans="1:1" ht="15" x14ac:dyDescent="0.25">
      <c r="A3571"/>
    </row>
    <row r="3572" spans="1:1" ht="15" x14ac:dyDescent="0.25">
      <c r="A3572"/>
    </row>
    <row r="3573" spans="1:1" ht="15" x14ac:dyDescent="0.25">
      <c r="A3573"/>
    </row>
    <row r="3574" spans="1:1" ht="15" x14ac:dyDescent="0.25">
      <c r="A3574"/>
    </row>
    <row r="3575" spans="1:1" ht="15" x14ac:dyDescent="0.25">
      <c r="A3575"/>
    </row>
    <row r="3576" spans="1:1" ht="15" x14ac:dyDescent="0.25">
      <c r="A3576"/>
    </row>
    <row r="3577" spans="1:1" ht="15" x14ac:dyDescent="0.25">
      <c r="A3577"/>
    </row>
    <row r="3578" spans="1:1" ht="15" x14ac:dyDescent="0.25">
      <c r="A3578"/>
    </row>
    <row r="3579" spans="1:1" ht="15" x14ac:dyDescent="0.25">
      <c r="A3579"/>
    </row>
    <row r="3580" spans="1:1" ht="15" x14ac:dyDescent="0.25">
      <c r="A3580"/>
    </row>
    <row r="3581" spans="1:1" ht="15" x14ac:dyDescent="0.25">
      <c r="A3581"/>
    </row>
    <row r="3582" spans="1:1" ht="15" x14ac:dyDescent="0.25">
      <c r="A3582"/>
    </row>
    <row r="3583" spans="1:1" ht="15" x14ac:dyDescent="0.25">
      <c r="A3583"/>
    </row>
    <row r="3584" spans="1:1" ht="15" x14ac:dyDescent="0.25">
      <c r="A3584"/>
    </row>
    <row r="3585" spans="1:1" ht="15" x14ac:dyDescent="0.25">
      <c r="A3585"/>
    </row>
    <row r="3586" spans="1:1" ht="15" x14ac:dyDescent="0.25">
      <c r="A3586"/>
    </row>
    <row r="3587" spans="1:1" ht="15" x14ac:dyDescent="0.25">
      <c r="A3587"/>
    </row>
    <row r="3588" spans="1:1" ht="15" x14ac:dyDescent="0.25">
      <c r="A3588"/>
    </row>
    <row r="3589" spans="1:1" ht="15" x14ac:dyDescent="0.25">
      <c r="A3589"/>
    </row>
    <row r="3590" spans="1:1" ht="15" x14ac:dyDescent="0.25">
      <c r="A3590"/>
    </row>
    <row r="3591" spans="1:1" ht="15" x14ac:dyDescent="0.25">
      <c r="A3591"/>
    </row>
    <row r="3592" spans="1:1" ht="15" x14ac:dyDescent="0.25">
      <c r="A3592"/>
    </row>
    <row r="3593" spans="1:1" ht="15" x14ac:dyDescent="0.25">
      <c r="A3593"/>
    </row>
    <row r="3594" spans="1:1" ht="15" x14ac:dyDescent="0.25">
      <c r="A3594"/>
    </row>
    <row r="3595" spans="1:1" ht="15" x14ac:dyDescent="0.25">
      <c r="A3595"/>
    </row>
    <row r="3596" spans="1:1" ht="15" x14ac:dyDescent="0.25">
      <c r="A3596"/>
    </row>
    <row r="3597" spans="1:1" ht="15" x14ac:dyDescent="0.25">
      <c r="A3597"/>
    </row>
    <row r="3598" spans="1:1" ht="15" x14ac:dyDescent="0.25">
      <c r="A3598"/>
    </row>
    <row r="3599" spans="1:1" ht="15" x14ac:dyDescent="0.25">
      <c r="A3599"/>
    </row>
    <row r="3600" spans="1:1" ht="15" x14ac:dyDescent="0.25">
      <c r="A3600"/>
    </row>
    <row r="3601" spans="1:1" ht="15" x14ac:dyDescent="0.25">
      <c r="A3601"/>
    </row>
    <row r="3602" spans="1:1" ht="15" x14ac:dyDescent="0.25">
      <c r="A3602"/>
    </row>
    <row r="3603" spans="1:1" ht="15" x14ac:dyDescent="0.25">
      <c r="A3603"/>
    </row>
    <row r="3604" spans="1:1" ht="15" x14ac:dyDescent="0.25">
      <c r="A3604"/>
    </row>
    <row r="3605" spans="1:1" ht="15" x14ac:dyDescent="0.25">
      <c r="A3605"/>
    </row>
    <row r="3606" spans="1:1" ht="15" x14ac:dyDescent="0.25">
      <c r="A3606"/>
    </row>
    <row r="3607" spans="1:1" ht="15" x14ac:dyDescent="0.25">
      <c r="A3607"/>
    </row>
    <row r="3608" spans="1:1" ht="15" x14ac:dyDescent="0.25">
      <c r="A3608"/>
    </row>
    <row r="3609" spans="1:1" ht="15" x14ac:dyDescent="0.25">
      <c r="A3609"/>
    </row>
    <row r="3610" spans="1:1" ht="15" x14ac:dyDescent="0.25">
      <c r="A3610"/>
    </row>
    <row r="3611" spans="1:1" ht="15" x14ac:dyDescent="0.25">
      <c r="A3611"/>
    </row>
    <row r="3612" spans="1:1" ht="15" x14ac:dyDescent="0.25">
      <c r="A3612"/>
    </row>
    <row r="3613" spans="1:1" ht="15" x14ac:dyDescent="0.25">
      <c r="A3613"/>
    </row>
    <row r="3614" spans="1:1" ht="15" x14ac:dyDescent="0.25">
      <c r="A3614"/>
    </row>
    <row r="3615" spans="1:1" ht="15" x14ac:dyDescent="0.25">
      <c r="A3615"/>
    </row>
    <row r="3616" spans="1:1" ht="15" x14ac:dyDescent="0.25">
      <c r="A3616"/>
    </row>
    <row r="3617" spans="1:1" ht="15" x14ac:dyDescent="0.25">
      <c r="A3617"/>
    </row>
    <row r="3618" spans="1:1" ht="15" x14ac:dyDescent="0.25">
      <c r="A3618"/>
    </row>
    <row r="3619" spans="1:1" ht="15" x14ac:dyDescent="0.25">
      <c r="A3619"/>
    </row>
    <row r="3620" spans="1:1" ht="15" x14ac:dyDescent="0.25">
      <c r="A3620"/>
    </row>
    <row r="3621" spans="1:1" ht="15" x14ac:dyDescent="0.25">
      <c r="A3621"/>
    </row>
    <row r="3622" spans="1:1" ht="15" x14ac:dyDescent="0.25">
      <c r="A3622"/>
    </row>
    <row r="3623" spans="1:1" ht="15" x14ac:dyDescent="0.25">
      <c r="A3623"/>
    </row>
    <row r="3624" spans="1:1" ht="15" x14ac:dyDescent="0.25">
      <c r="A3624"/>
    </row>
    <row r="3625" spans="1:1" ht="15" x14ac:dyDescent="0.25">
      <c r="A3625"/>
    </row>
    <row r="3626" spans="1:1" ht="15" x14ac:dyDescent="0.25">
      <c r="A3626"/>
    </row>
    <row r="3627" spans="1:1" ht="15" x14ac:dyDescent="0.25">
      <c r="A3627"/>
    </row>
    <row r="3628" spans="1:1" ht="15" x14ac:dyDescent="0.25">
      <c r="A3628"/>
    </row>
    <row r="3629" spans="1:1" ht="15" x14ac:dyDescent="0.25">
      <c r="A3629"/>
    </row>
    <row r="3630" spans="1:1" ht="15" x14ac:dyDescent="0.25">
      <c r="A3630"/>
    </row>
    <row r="3631" spans="1:1" ht="15" x14ac:dyDescent="0.25">
      <c r="A3631"/>
    </row>
    <row r="3632" spans="1:1" ht="15" x14ac:dyDescent="0.25">
      <c r="A3632"/>
    </row>
    <row r="3633" spans="1:1" ht="15" x14ac:dyDescent="0.25">
      <c r="A3633"/>
    </row>
    <row r="3634" spans="1:1" ht="15" x14ac:dyDescent="0.25">
      <c r="A3634"/>
    </row>
    <row r="3635" spans="1:1" ht="15" x14ac:dyDescent="0.25">
      <c r="A3635"/>
    </row>
    <row r="3636" spans="1:1" ht="15" x14ac:dyDescent="0.25">
      <c r="A3636"/>
    </row>
    <row r="3637" spans="1:1" ht="15" x14ac:dyDescent="0.25">
      <c r="A3637"/>
    </row>
    <row r="3638" spans="1:1" ht="15" x14ac:dyDescent="0.25">
      <c r="A3638"/>
    </row>
    <row r="3639" spans="1:1" ht="15" x14ac:dyDescent="0.25">
      <c r="A3639"/>
    </row>
    <row r="3640" spans="1:1" ht="15" x14ac:dyDescent="0.25">
      <c r="A3640"/>
    </row>
    <row r="3641" spans="1:1" ht="15" x14ac:dyDescent="0.25">
      <c r="A3641"/>
    </row>
    <row r="3642" spans="1:1" ht="15" x14ac:dyDescent="0.25">
      <c r="A3642"/>
    </row>
    <row r="3643" spans="1:1" ht="15" x14ac:dyDescent="0.25">
      <c r="A3643"/>
    </row>
    <row r="3644" spans="1:1" ht="15" x14ac:dyDescent="0.25">
      <c r="A3644"/>
    </row>
    <row r="3645" spans="1:1" ht="15" x14ac:dyDescent="0.25">
      <c r="A3645"/>
    </row>
    <row r="3646" spans="1:1" ht="15" x14ac:dyDescent="0.25">
      <c r="A3646"/>
    </row>
    <row r="3647" spans="1:1" ht="15" x14ac:dyDescent="0.25">
      <c r="A3647"/>
    </row>
    <row r="3648" spans="1:1" ht="15" x14ac:dyDescent="0.25">
      <c r="A3648"/>
    </row>
    <row r="3649" spans="1:1" ht="15" x14ac:dyDescent="0.25">
      <c r="A3649"/>
    </row>
    <row r="3650" spans="1:1" ht="15" x14ac:dyDescent="0.25">
      <c r="A3650"/>
    </row>
    <row r="3651" spans="1:1" ht="15" x14ac:dyDescent="0.25">
      <c r="A3651"/>
    </row>
    <row r="3652" spans="1:1" ht="15" x14ac:dyDescent="0.25">
      <c r="A3652"/>
    </row>
    <row r="3653" spans="1:1" ht="15" x14ac:dyDescent="0.25">
      <c r="A3653"/>
    </row>
    <row r="3654" spans="1:1" ht="15" x14ac:dyDescent="0.25">
      <c r="A3654"/>
    </row>
    <row r="3655" spans="1:1" ht="15" x14ac:dyDescent="0.25">
      <c r="A3655"/>
    </row>
    <row r="3656" spans="1:1" ht="15" x14ac:dyDescent="0.25">
      <c r="A3656"/>
    </row>
    <row r="3657" spans="1:1" ht="15" x14ac:dyDescent="0.25">
      <c r="A3657"/>
    </row>
    <row r="3658" spans="1:1" ht="15" x14ac:dyDescent="0.25">
      <c r="A3658"/>
    </row>
    <row r="3659" spans="1:1" ht="15" x14ac:dyDescent="0.25">
      <c r="A3659"/>
    </row>
    <row r="3660" spans="1:1" ht="15" x14ac:dyDescent="0.25">
      <c r="A3660"/>
    </row>
    <row r="3661" spans="1:1" ht="15" x14ac:dyDescent="0.25">
      <c r="A3661"/>
    </row>
    <row r="3662" spans="1:1" ht="15" x14ac:dyDescent="0.25">
      <c r="A3662"/>
    </row>
    <row r="3663" spans="1:1" ht="15" x14ac:dyDescent="0.25">
      <c r="A3663"/>
    </row>
    <row r="3664" spans="1:1" ht="15" x14ac:dyDescent="0.25">
      <c r="A3664"/>
    </row>
    <row r="3665" spans="1:1" ht="15" x14ac:dyDescent="0.25">
      <c r="A3665"/>
    </row>
    <row r="3666" spans="1:1" ht="15" x14ac:dyDescent="0.25">
      <c r="A3666"/>
    </row>
    <row r="3667" spans="1:1" ht="15" x14ac:dyDescent="0.25">
      <c r="A3667"/>
    </row>
    <row r="3668" spans="1:1" ht="15" x14ac:dyDescent="0.25">
      <c r="A3668"/>
    </row>
    <row r="3669" spans="1:1" ht="15" x14ac:dyDescent="0.25">
      <c r="A3669"/>
    </row>
    <row r="3670" spans="1:1" ht="15" x14ac:dyDescent="0.25">
      <c r="A3670"/>
    </row>
    <row r="3671" spans="1:1" ht="15" x14ac:dyDescent="0.25">
      <c r="A3671"/>
    </row>
    <row r="3672" spans="1:1" ht="15" x14ac:dyDescent="0.25">
      <c r="A3672"/>
    </row>
    <row r="3673" spans="1:1" ht="15" x14ac:dyDescent="0.25">
      <c r="A3673"/>
    </row>
    <row r="3674" spans="1:1" ht="15" x14ac:dyDescent="0.25">
      <c r="A3674"/>
    </row>
    <row r="3675" spans="1:1" ht="15" x14ac:dyDescent="0.25">
      <c r="A3675"/>
    </row>
    <row r="3676" spans="1:1" ht="15" x14ac:dyDescent="0.25">
      <c r="A3676"/>
    </row>
    <row r="3677" spans="1:1" ht="15" x14ac:dyDescent="0.25">
      <c r="A3677"/>
    </row>
    <row r="3678" spans="1:1" ht="15" x14ac:dyDescent="0.25">
      <c r="A3678"/>
    </row>
    <row r="3679" spans="1:1" ht="15" x14ac:dyDescent="0.25">
      <c r="A3679"/>
    </row>
    <row r="3680" spans="1:1" ht="15" x14ac:dyDescent="0.25">
      <c r="A3680"/>
    </row>
    <row r="3681" spans="1:1" ht="15" x14ac:dyDescent="0.25">
      <c r="A3681"/>
    </row>
    <row r="3682" spans="1:1" ht="15" x14ac:dyDescent="0.25">
      <c r="A3682"/>
    </row>
    <row r="3683" spans="1:1" ht="15" x14ac:dyDescent="0.25">
      <c r="A3683"/>
    </row>
    <row r="3684" spans="1:1" ht="15" x14ac:dyDescent="0.25">
      <c r="A3684"/>
    </row>
    <row r="3685" spans="1:1" ht="15" x14ac:dyDescent="0.25">
      <c r="A3685"/>
    </row>
    <row r="3686" spans="1:1" ht="15" x14ac:dyDescent="0.25">
      <c r="A3686"/>
    </row>
    <row r="3687" spans="1:1" ht="15" x14ac:dyDescent="0.25">
      <c r="A3687"/>
    </row>
    <row r="3688" spans="1:1" ht="15" x14ac:dyDescent="0.25">
      <c r="A3688"/>
    </row>
    <row r="3689" spans="1:1" ht="15" x14ac:dyDescent="0.25">
      <c r="A3689"/>
    </row>
    <row r="3690" spans="1:1" ht="15" x14ac:dyDescent="0.25">
      <c r="A3690"/>
    </row>
    <row r="3691" spans="1:1" ht="15" x14ac:dyDescent="0.25">
      <c r="A3691"/>
    </row>
    <row r="3692" spans="1:1" ht="15" x14ac:dyDescent="0.25">
      <c r="A3692"/>
    </row>
    <row r="3693" spans="1:1" ht="15" x14ac:dyDescent="0.25">
      <c r="A3693"/>
    </row>
    <row r="3694" spans="1:1" ht="15" x14ac:dyDescent="0.25">
      <c r="A3694"/>
    </row>
    <row r="3695" spans="1:1" ht="15" x14ac:dyDescent="0.25">
      <c r="A3695"/>
    </row>
    <row r="3696" spans="1:1" ht="15" x14ac:dyDescent="0.25">
      <c r="A3696"/>
    </row>
    <row r="3697" spans="1:1" ht="15" x14ac:dyDescent="0.25">
      <c r="A3697"/>
    </row>
    <row r="3698" spans="1:1" ht="15" x14ac:dyDescent="0.25">
      <c r="A3698"/>
    </row>
    <row r="3699" spans="1:1" ht="15" x14ac:dyDescent="0.25">
      <c r="A3699"/>
    </row>
    <row r="3700" spans="1:1" ht="15" x14ac:dyDescent="0.25">
      <c r="A3700"/>
    </row>
    <row r="3701" spans="1:1" ht="15" x14ac:dyDescent="0.25">
      <c r="A3701"/>
    </row>
    <row r="3702" spans="1:1" ht="15" x14ac:dyDescent="0.25">
      <c r="A3702"/>
    </row>
    <row r="3703" spans="1:1" ht="15" x14ac:dyDescent="0.25">
      <c r="A3703"/>
    </row>
    <row r="3704" spans="1:1" ht="15" x14ac:dyDescent="0.25">
      <c r="A3704"/>
    </row>
    <row r="3705" spans="1:1" ht="15" x14ac:dyDescent="0.25">
      <c r="A3705"/>
    </row>
    <row r="3706" spans="1:1" ht="15" x14ac:dyDescent="0.25">
      <c r="A3706"/>
    </row>
    <row r="3707" spans="1:1" ht="15" x14ac:dyDescent="0.25">
      <c r="A3707"/>
    </row>
    <row r="3708" spans="1:1" ht="15" x14ac:dyDescent="0.25">
      <c r="A3708"/>
    </row>
    <row r="3709" spans="1:1" ht="15" x14ac:dyDescent="0.25">
      <c r="A3709"/>
    </row>
    <row r="3710" spans="1:1" ht="15" x14ac:dyDescent="0.25">
      <c r="A3710"/>
    </row>
    <row r="3711" spans="1:1" ht="15" x14ac:dyDescent="0.25">
      <c r="A3711"/>
    </row>
    <row r="3712" spans="1:1" ht="15" x14ac:dyDescent="0.25">
      <c r="A3712"/>
    </row>
    <row r="3713" spans="1:1" ht="15" x14ac:dyDescent="0.25">
      <c r="A3713"/>
    </row>
    <row r="3714" spans="1:1" ht="15" x14ac:dyDescent="0.25">
      <c r="A3714"/>
    </row>
    <row r="3715" spans="1:1" ht="15" x14ac:dyDescent="0.25">
      <c r="A3715"/>
    </row>
    <row r="3716" spans="1:1" ht="15" x14ac:dyDescent="0.25">
      <c r="A3716"/>
    </row>
    <row r="3717" spans="1:1" ht="15" x14ac:dyDescent="0.25">
      <c r="A3717"/>
    </row>
    <row r="3718" spans="1:1" ht="15" x14ac:dyDescent="0.25">
      <c r="A3718"/>
    </row>
    <row r="3719" spans="1:1" ht="15" x14ac:dyDescent="0.25">
      <c r="A3719"/>
    </row>
    <row r="3720" spans="1:1" ht="15" x14ac:dyDescent="0.25">
      <c r="A3720"/>
    </row>
    <row r="3721" spans="1:1" ht="15" x14ac:dyDescent="0.25">
      <c r="A3721"/>
    </row>
    <row r="3722" spans="1:1" ht="15" x14ac:dyDescent="0.25">
      <c r="A3722"/>
    </row>
    <row r="3723" spans="1:1" ht="15" x14ac:dyDescent="0.25">
      <c r="A3723"/>
    </row>
    <row r="3724" spans="1:1" ht="15" x14ac:dyDescent="0.25">
      <c r="A3724"/>
    </row>
    <row r="3725" spans="1:1" ht="15" x14ac:dyDescent="0.25">
      <c r="A3725"/>
    </row>
    <row r="3726" spans="1:1" ht="15" x14ac:dyDescent="0.25">
      <c r="A3726"/>
    </row>
    <row r="3727" spans="1:1" ht="15" x14ac:dyDescent="0.25">
      <c r="A3727"/>
    </row>
    <row r="3728" spans="1:1" ht="15" x14ac:dyDescent="0.25">
      <c r="A3728"/>
    </row>
    <row r="3729" spans="1:1" ht="15" x14ac:dyDescent="0.25">
      <c r="A3729"/>
    </row>
    <row r="3730" spans="1:1" ht="15" x14ac:dyDescent="0.25">
      <c r="A3730"/>
    </row>
    <row r="3731" spans="1:1" ht="15" x14ac:dyDescent="0.25">
      <c r="A3731"/>
    </row>
    <row r="3732" spans="1:1" ht="15" x14ac:dyDescent="0.25">
      <c r="A3732"/>
    </row>
    <row r="3733" spans="1:1" ht="15" x14ac:dyDescent="0.25">
      <c r="A3733"/>
    </row>
    <row r="3734" spans="1:1" ht="15" x14ac:dyDescent="0.25">
      <c r="A3734"/>
    </row>
    <row r="3735" spans="1:1" ht="15" x14ac:dyDescent="0.25">
      <c r="A3735"/>
    </row>
    <row r="3736" spans="1:1" ht="15" x14ac:dyDescent="0.25">
      <c r="A3736"/>
    </row>
    <row r="3737" spans="1:1" ht="15" x14ac:dyDescent="0.25">
      <c r="A3737"/>
    </row>
    <row r="3738" spans="1:1" ht="15" x14ac:dyDescent="0.25">
      <c r="A3738"/>
    </row>
    <row r="3739" spans="1:1" ht="15" x14ac:dyDescent="0.25">
      <c r="A3739"/>
    </row>
    <row r="3740" spans="1:1" ht="15" x14ac:dyDescent="0.25">
      <c r="A3740"/>
    </row>
    <row r="3741" spans="1:1" ht="15" x14ac:dyDescent="0.25">
      <c r="A3741"/>
    </row>
    <row r="3742" spans="1:1" ht="15" x14ac:dyDescent="0.25">
      <c r="A3742"/>
    </row>
    <row r="3743" spans="1:1" ht="15" x14ac:dyDescent="0.25">
      <c r="A3743"/>
    </row>
    <row r="3744" spans="1:1" ht="15" x14ac:dyDescent="0.25">
      <c r="A3744"/>
    </row>
    <row r="3745" spans="1:1" ht="15" x14ac:dyDescent="0.25">
      <c r="A3745"/>
    </row>
    <row r="3746" spans="1:1" ht="15" x14ac:dyDescent="0.25">
      <c r="A3746"/>
    </row>
    <row r="3747" spans="1:1" ht="15" x14ac:dyDescent="0.25">
      <c r="A3747"/>
    </row>
    <row r="3748" spans="1:1" ht="15" x14ac:dyDescent="0.25">
      <c r="A3748"/>
    </row>
    <row r="3749" spans="1:1" ht="15" x14ac:dyDescent="0.25">
      <c r="A3749"/>
    </row>
    <row r="3750" spans="1:1" ht="15" x14ac:dyDescent="0.25">
      <c r="A3750"/>
    </row>
    <row r="3751" spans="1:1" ht="15" x14ac:dyDescent="0.25">
      <c r="A3751"/>
    </row>
    <row r="3752" spans="1:1" ht="15" x14ac:dyDescent="0.25">
      <c r="A3752"/>
    </row>
    <row r="3753" spans="1:1" ht="15" x14ac:dyDescent="0.25">
      <c r="A3753"/>
    </row>
    <row r="3754" spans="1:1" ht="15" x14ac:dyDescent="0.25">
      <c r="A3754"/>
    </row>
    <row r="3755" spans="1:1" ht="15" x14ac:dyDescent="0.25">
      <c r="A3755"/>
    </row>
    <row r="3756" spans="1:1" ht="15" x14ac:dyDescent="0.25">
      <c r="A3756"/>
    </row>
    <row r="3757" spans="1:1" ht="15" x14ac:dyDescent="0.25">
      <c r="A3757"/>
    </row>
    <row r="3758" spans="1:1" ht="15" x14ac:dyDescent="0.25">
      <c r="A3758"/>
    </row>
    <row r="3759" spans="1:1" ht="15" x14ac:dyDescent="0.25">
      <c r="A3759"/>
    </row>
    <row r="3760" spans="1:1" ht="15" x14ac:dyDescent="0.25">
      <c r="A3760"/>
    </row>
    <row r="3761" spans="1:1" ht="15" x14ac:dyDescent="0.25">
      <c r="A3761"/>
    </row>
    <row r="3762" spans="1:1" ht="15" x14ac:dyDescent="0.25">
      <c r="A3762"/>
    </row>
    <row r="3763" spans="1:1" ht="15" x14ac:dyDescent="0.25">
      <c r="A3763"/>
    </row>
    <row r="3764" spans="1:1" ht="15" x14ac:dyDescent="0.25">
      <c r="A3764"/>
    </row>
    <row r="3765" spans="1:1" ht="15" x14ac:dyDescent="0.25">
      <c r="A3765"/>
    </row>
    <row r="3766" spans="1:1" ht="15" x14ac:dyDescent="0.25">
      <c r="A3766"/>
    </row>
    <row r="3767" spans="1:1" ht="15" x14ac:dyDescent="0.25">
      <c r="A3767"/>
    </row>
    <row r="3768" spans="1:1" ht="15" x14ac:dyDescent="0.25">
      <c r="A3768"/>
    </row>
    <row r="3769" spans="1:1" ht="15" x14ac:dyDescent="0.25">
      <c r="A3769"/>
    </row>
    <row r="3770" spans="1:1" ht="15" x14ac:dyDescent="0.25">
      <c r="A3770"/>
    </row>
    <row r="3771" spans="1:1" ht="15" x14ac:dyDescent="0.25">
      <c r="A3771"/>
    </row>
    <row r="3772" spans="1:1" ht="15" x14ac:dyDescent="0.25">
      <c r="A3772"/>
    </row>
    <row r="3773" spans="1:1" ht="15" x14ac:dyDescent="0.25">
      <c r="A3773"/>
    </row>
    <row r="3774" spans="1:1" ht="15" x14ac:dyDescent="0.25">
      <c r="A3774"/>
    </row>
    <row r="3775" spans="1:1" ht="15" x14ac:dyDescent="0.25">
      <c r="A3775"/>
    </row>
    <row r="3776" spans="1:1" ht="15" x14ac:dyDescent="0.25">
      <c r="A3776"/>
    </row>
    <row r="3777" spans="1:1" ht="15" x14ac:dyDescent="0.25">
      <c r="A3777"/>
    </row>
    <row r="3778" spans="1:1" ht="15" x14ac:dyDescent="0.25">
      <c r="A3778"/>
    </row>
    <row r="3779" spans="1:1" ht="15" x14ac:dyDescent="0.25">
      <c r="A3779"/>
    </row>
    <row r="3780" spans="1:1" ht="15" x14ac:dyDescent="0.25">
      <c r="A3780"/>
    </row>
    <row r="3781" spans="1:1" ht="15" x14ac:dyDescent="0.25">
      <c r="A3781"/>
    </row>
    <row r="3782" spans="1:1" ht="15" x14ac:dyDescent="0.25">
      <c r="A3782"/>
    </row>
    <row r="3783" spans="1:1" ht="15" x14ac:dyDescent="0.25">
      <c r="A3783"/>
    </row>
    <row r="3784" spans="1:1" ht="15" x14ac:dyDescent="0.25">
      <c r="A3784"/>
    </row>
    <row r="3785" spans="1:1" ht="15" x14ac:dyDescent="0.25">
      <c r="A3785"/>
    </row>
    <row r="3786" spans="1:1" ht="15" x14ac:dyDescent="0.25">
      <c r="A3786"/>
    </row>
    <row r="3787" spans="1:1" ht="15" x14ac:dyDescent="0.25">
      <c r="A3787"/>
    </row>
    <row r="3788" spans="1:1" ht="15" x14ac:dyDescent="0.25">
      <c r="A3788"/>
    </row>
    <row r="3789" spans="1:1" ht="15" x14ac:dyDescent="0.25">
      <c r="A3789"/>
    </row>
    <row r="3790" spans="1:1" ht="15" x14ac:dyDescent="0.25">
      <c r="A3790"/>
    </row>
    <row r="3791" spans="1:1" ht="15" x14ac:dyDescent="0.25">
      <c r="A3791"/>
    </row>
    <row r="3792" spans="1:1" ht="15" x14ac:dyDescent="0.25">
      <c r="A3792"/>
    </row>
    <row r="3793" spans="1:1" ht="15" x14ac:dyDescent="0.25">
      <c r="A3793"/>
    </row>
    <row r="3794" spans="1:1" ht="15" x14ac:dyDescent="0.25">
      <c r="A3794"/>
    </row>
    <row r="3795" spans="1:1" ht="15" x14ac:dyDescent="0.25">
      <c r="A3795"/>
    </row>
    <row r="3796" spans="1:1" ht="15" x14ac:dyDescent="0.25">
      <c r="A3796"/>
    </row>
    <row r="3797" spans="1:1" ht="15" x14ac:dyDescent="0.25">
      <c r="A3797"/>
    </row>
    <row r="3798" spans="1:1" ht="15" x14ac:dyDescent="0.25">
      <c r="A3798"/>
    </row>
    <row r="3799" spans="1:1" ht="15" x14ac:dyDescent="0.25">
      <c r="A3799"/>
    </row>
    <row r="3800" spans="1:1" ht="15" x14ac:dyDescent="0.25">
      <c r="A3800"/>
    </row>
    <row r="3801" spans="1:1" ht="15" x14ac:dyDescent="0.25">
      <c r="A3801"/>
    </row>
    <row r="3802" spans="1:1" ht="15" x14ac:dyDescent="0.25">
      <c r="A3802"/>
    </row>
    <row r="3803" spans="1:1" ht="15" x14ac:dyDescent="0.25">
      <c r="A3803"/>
    </row>
    <row r="3804" spans="1:1" ht="15" x14ac:dyDescent="0.25">
      <c r="A3804"/>
    </row>
    <row r="3805" spans="1:1" ht="15" x14ac:dyDescent="0.25">
      <c r="A3805"/>
    </row>
    <row r="3806" spans="1:1" ht="15" x14ac:dyDescent="0.25">
      <c r="A3806"/>
    </row>
    <row r="3807" spans="1:1" ht="15" x14ac:dyDescent="0.25">
      <c r="A3807"/>
    </row>
    <row r="3808" spans="1:1" ht="15" x14ac:dyDescent="0.25">
      <c r="A3808"/>
    </row>
    <row r="3809" spans="1:1" ht="15" x14ac:dyDescent="0.25">
      <c r="A3809"/>
    </row>
    <row r="3810" spans="1:1" ht="15" x14ac:dyDescent="0.25">
      <c r="A3810"/>
    </row>
    <row r="3811" spans="1:1" ht="15" x14ac:dyDescent="0.25">
      <c r="A3811"/>
    </row>
    <row r="3812" spans="1:1" ht="15" x14ac:dyDescent="0.25">
      <c r="A3812"/>
    </row>
    <row r="3813" spans="1:1" ht="15" x14ac:dyDescent="0.25">
      <c r="A3813"/>
    </row>
    <row r="3814" spans="1:1" ht="15" x14ac:dyDescent="0.25">
      <c r="A3814"/>
    </row>
    <row r="3815" spans="1:1" ht="15" x14ac:dyDescent="0.25">
      <c r="A3815"/>
    </row>
    <row r="3816" spans="1:1" ht="15" x14ac:dyDescent="0.25">
      <c r="A3816"/>
    </row>
    <row r="3817" spans="1:1" ht="15" x14ac:dyDescent="0.25">
      <c r="A3817"/>
    </row>
    <row r="3818" spans="1:1" ht="15" x14ac:dyDescent="0.25">
      <c r="A3818"/>
    </row>
    <row r="3819" spans="1:1" ht="15" x14ac:dyDescent="0.25">
      <c r="A3819"/>
    </row>
    <row r="3820" spans="1:1" ht="15" x14ac:dyDescent="0.25">
      <c r="A3820"/>
    </row>
    <row r="3821" spans="1:1" ht="15" x14ac:dyDescent="0.25">
      <c r="A3821"/>
    </row>
    <row r="3822" spans="1:1" ht="15" x14ac:dyDescent="0.25">
      <c r="A3822"/>
    </row>
    <row r="3823" spans="1:1" ht="15" x14ac:dyDescent="0.25">
      <c r="A3823"/>
    </row>
    <row r="3824" spans="1:1" ht="15" x14ac:dyDescent="0.25">
      <c r="A3824"/>
    </row>
    <row r="3825" spans="1:1" ht="15" x14ac:dyDescent="0.25">
      <c r="A3825"/>
    </row>
    <row r="3826" spans="1:1" ht="15" x14ac:dyDescent="0.25">
      <c r="A3826"/>
    </row>
    <row r="3827" spans="1:1" ht="15" x14ac:dyDescent="0.25">
      <c r="A3827"/>
    </row>
    <row r="3828" spans="1:1" ht="15" x14ac:dyDescent="0.25">
      <c r="A3828"/>
    </row>
    <row r="3829" spans="1:1" ht="15" x14ac:dyDescent="0.25">
      <c r="A3829"/>
    </row>
    <row r="3830" spans="1:1" ht="15" x14ac:dyDescent="0.25">
      <c r="A3830"/>
    </row>
    <row r="3831" spans="1:1" ht="15" x14ac:dyDescent="0.25">
      <c r="A3831"/>
    </row>
    <row r="3832" spans="1:1" ht="15" x14ac:dyDescent="0.25">
      <c r="A3832"/>
    </row>
    <row r="3833" spans="1:1" ht="15" x14ac:dyDescent="0.25">
      <c r="A3833"/>
    </row>
    <row r="3834" spans="1:1" ht="15" x14ac:dyDescent="0.25">
      <c r="A3834"/>
    </row>
    <row r="3835" spans="1:1" ht="15" x14ac:dyDescent="0.25">
      <c r="A3835"/>
    </row>
    <row r="3836" spans="1:1" ht="15" x14ac:dyDescent="0.25">
      <c r="A3836"/>
    </row>
    <row r="3837" spans="1:1" ht="15" x14ac:dyDescent="0.25">
      <c r="A3837"/>
    </row>
    <row r="3838" spans="1:1" ht="15" x14ac:dyDescent="0.25">
      <c r="A3838"/>
    </row>
    <row r="3839" spans="1:1" ht="15" x14ac:dyDescent="0.25">
      <c r="A3839"/>
    </row>
    <row r="3840" spans="1:1" ht="15" x14ac:dyDescent="0.25">
      <c r="A3840"/>
    </row>
    <row r="3841" spans="1:1" ht="15" x14ac:dyDescent="0.25">
      <c r="A3841"/>
    </row>
    <row r="3842" spans="1:1" ht="15" x14ac:dyDescent="0.25">
      <c r="A3842"/>
    </row>
    <row r="3843" spans="1:1" ht="15" x14ac:dyDescent="0.25">
      <c r="A3843"/>
    </row>
    <row r="3844" spans="1:1" ht="15" x14ac:dyDescent="0.25">
      <c r="A3844"/>
    </row>
    <row r="3845" spans="1:1" ht="15" x14ac:dyDescent="0.25">
      <c r="A3845"/>
    </row>
    <row r="3846" spans="1:1" ht="15" x14ac:dyDescent="0.25">
      <c r="A3846"/>
    </row>
    <row r="3847" spans="1:1" ht="15" x14ac:dyDescent="0.25">
      <c r="A3847"/>
    </row>
    <row r="3848" spans="1:1" ht="15" x14ac:dyDescent="0.25">
      <c r="A3848"/>
    </row>
    <row r="3849" spans="1:1" ht="15" x14ac:dyDescent="0.25">
      <c r="A3849"/>
    </row>
    <row r="3850" spans="1:1" ht="15" x14ac:dyDescent="0.25">
      <c r="A3850"/>
    </row>
    <row r="3851" spans="1:1" ht="15" x14ac:dyDescent="0.25">
      <c r="A3851"/>
    </row>
    <row r="3852" spans="1:1" ht="15" x14ac:dyDescent="0.25">
      <c r="A3852"/>
    </row>
    <row r="3853" spans="1:1" ht="15" x14ac:dyDescent="0.25">
      <c r="A3853"/>
    </row>
    <row r="3854" spans="1:1" ht="15" x14ac:dyDescent="0.25">
      <c r="A3854"/>
    </row>
    <row r="3855" spans="1:1" ht="15" x14ac:dyDescent="0.25">
      <c r="A3855"/>
    </row>
    <row r="3856" spans="1:1" ht="15" x14ac:dyDescent="0.25">
      <c r="A3856"/>
    </row>
    <row r="3857" spans="1:1" ht="15" x14ac:dyDescent="0.25">
      <c r="A3857"/>
    </row>
    <row r="3858" spans="1:1" ht="15" x14ac:dyDescent="0.25">
      <c r="A3858"/>
    </row>
    <row r="3859" spans="1:1" ht="15" x14ac:dyDescent="0.25">
      <c r="A3859"/>
    </row>
    <row r="3860" spans="1:1" ht="15" x14ac:dyDescent="0.25">
      <c r="A3860"/>
    </row>
    <row r="3861" spans="1:1" ht="15" x14ac:dyDescent="0.25">
      <c r="A3861"/>
    </row>
    <row r="3862" spans="1:1" ht="15" x14ac:dyDescent="0.25">
      <c r="A3862"/>
    </row>
    <row r="3863" spans="1:1" ht="15" x14ac:dyDescent="0.25">
      <c r="A3863"/>
    </row>
    <row r="3864" spans="1:1" ht="15" x14ac:dyDescent="0.25">
      <c r="A3864"/>
    </row>
    <row r="3865" spans="1:1" ht="15" x14ac:dyDescent="0.25">
      <c r="A3865"/>
    </row>
    <row r="3866" spans="1:1" ht="15" x14ac:dyDescent="0.25">
      <c r="A3866"/>
    </row>
    <row r="3867" spans="1:1" ht="15" x14ac:dyDescent="0.25">
      <c r="A3867"/>
    </row>
    <row r="3868" spans="1:1" ht="15" x14ac:dyDescent="0.25">
      <c r="A3868"/>
    </row>
    <row r="3869" spans="1:1" ht="15" x14ac:dyDescent="0.25">
      <c r="A3869"/>
    </row>
    <row r="3870" spans="1:1" ht="15" x14ac:dyDescent="0.25">
      <c r="A3870"/>
    </row>
    <row r="3871" spans="1:1" ht="15" x14ac:dyDescent="0.25">
      <c r="A3871"/>
    </row>
    <row r="3872" spans="1:1" ht="15" x14ac:dyDescent="0.25">
      <c r="A3872"/>
    </row>
    <row r="3873" spans="1:1" ht="15" x14ac:dyDescent="0.25">
      <c r="A3873"/>
    </row>
    <row r="3874" spans="1:1" ht="15" x14ac:dyDescent="0.25">
      <c r="A3874"/>
    </row>
    <row r="3875" spans="1:1" ht="15" x14ac:dyDescent="0.25">
      <c r="A3875"/>
    </row>
    <row r="3876" spans="1:1" ht="15" x14ac:dyDescent="0.25">
      <c r="A3876"/>
    </row>
    <row r="3877" spans="1:1" ht="15" x14ac:dyDescent="0.25">
      <c r="A3877"/>
    </row>
    <row r="3878" spans="1:1" ht="15" x14ac:dyDescent="0.25">
      <c r="A3878"/>
    </row>
    <row r="3879" spans="1:1" ht="15" x14ac:dyDescent="0.25">
      <c r="A3879"/>
    </row>
    <row r="3880" spans="1:1" ht="15" x14ac:dyDescent="0.25">
      <c r="A3880"/>
    </row>
    <row r="3881" spans="1:1" ht="15" x14ac:dyDescent="0.25">
      <c r="A3881"/>
    </row>
    <row r="3882" spans="1:1" ht="15" x14ac:dyDescent="0.25">
      <c r="A3882"/>
    </row>
    <row r="3883" spans="1:1" ht="15" x14ac:dyDescent="0.25">
      <c r="A3883"/>
    </row>
    <row r="3884" spans="1:1" ht="15" x14ac:dyDescent="0.25">
      <c r="A3884"/>
    </row>
    <row r="3885" spans="1:1" ht="15" x14ac:dyDescent="0.25">
      <c r="A3885"/>
    </row>
    <row r="3886" spans="1:1" ht="15" x14ac:dyDescent="0.25">
      <c r="A3886"/>
    </row>
    <row r="3887" spans="1:1" ht="15" x14ac:dyDescent="0.25">
      <c r="A3887"/>
    </row>
    <row r="3888" spans="1:1" ht="15" x14ac:dyDescent="0.25">
      <c r="A3888"/>
    </row>
    <row r="3889" spans="1:1" ht="15" x14ac:dyDescent="0.25">
      <c r="A3889"/>
    </row>
    <row r="3890" spans="1:1" ht="15" x14ac:dyDescent="0.25">
      <c r="A3890"/>
    </row>
    <row r="3891" spans="1:1" ht="15" x14ac:dyDescent="0.25">
      <c r="A3891"/>
    </row>
    <row r="3892" spans="1:1" ht="15" x14ac:dyDescent="0.25">
      <c r="A3892"/>
    </row>
    <row r="3893" spans="1:1" ht="15" x14ac:dyDescent="0.25">
      <c r="A3893"/>
    </row>
    <row r="3894" spans="1:1" ht="15" x14ac:dyDescent="0.25">
      <c r="A3894"/>
    </row>
    <row r="3895" spans="1:1" ht="15" x14ac:dyDescent="0.25">
      <c r="A3895"/>
    </row>
    <row r="3896" spans="1:1" ht="15" x14ac:dyDescent="0.25">
      <c r="A3896"/>
    </row>
    <row r="3897" spans="1:1" ht="15" x14ac:dyDescent="0.25">
      <c r="A3897"/>
    </row>
    <row r="3898" spans="1:1" ht="15" x14ac:dyDescent="0.25">
      <c r="A3898"/>
    </row>
    <row r="3899" spans="1:1" ht="15" x14ac:dyDescent="0.25">
      <c r="A3899"/>
    </row>
    <row r="3900" spans="1:1" ht="15" x14ac:dyDescent="0.25">
      <c r="A3900"/>
    </row>
    <row r="3901" spans="1:1" ht="15" x14ac:dyDescent="0.25">
      <c r="A3901"/>
    </row>
    <row r="3902" spans="1:1" ht="15" x14ac:dyDescent="0.25">
      <c r="A3902"/>
    </row>
    <row r="3903" spans="1:1" ht="15" x14ac:dyDescent="0.25">
      <c r="A3903"/>
    </row>
    <row r="3904" spans="1:1" ht="15" x14ac:dyDescent="0.25">
      <c r="A3904"/>
    </row>
    <row r="3905" spans="1:1" ht="15" x14ac:dyDescent="0.25">
      <c r="A3905"/>
    </row>
    <row r="3906" spans="1:1" ht="15" x14ac:dyDescent="0.25">
      <c r="A3906"/>
    </row>
    <row r="3907" spans="1:1" ht="15" x14ac:dyDescent="0.25">
      <c r="A3907"/>
    </row>
    <row r="3908" spans="1:1" ht="15" x14ac:dyDescent="0.25">
      <c r="A3908"/>
    </row>
    <row r="3909" spans="1:1" ht="15" x14ac:dyDescent="0.25">
      <c r="A3909"/>
    </row>
    <row r="3910" spans="1:1" ht="15" x14ac:dyDescent="0.25">
      <c r="A3910"/>
    </row>
    <row r="3911" spans="1:1" ht="15" x14ac:dyDescent="0.25">
      <c r="A3911"/>
    </row>
    <row r="3912" spans="1:1" ht="15" x14ac:dyDescent="0.25">
      <c r="A3912"/>
    </row>
    <row r="3913" spans="1:1" ht="15" x14ac:dyDescent="0.25">
      <c r="A3913"/>
    </row>
    <row r="3914" spans="1:1" ht="15" x14ac:dyDescent="0.25">
      <c r="A3914"/>
    </row>
    <row r="3915" spans="1:1" ht="15" x14ac:dyDescent="0.25">
      <c r="A3915"/>
    </row>
    <row r="3916" spans="1:1" ht="15" x14ac:dyDescent="0.25">
      <c r="A3916"/>
    </row>
    <row r="3917" spans="1:1" ht="15" x14ac:dyDescent="0.25">
      <c r="A3917"/>
    </row>
    <row r="3918" spans="1:1" ht="15" x14ac:dyDescent="0.25">
      <c r="A3918"/>
    </row>
    <row r="3919" spans="1:1" ht="15" x14ac:dyDescent="0.25">
      <c r="A3919"/>
    </row>
    <row r="3920" spans="1:1" ht="15" x14ac:dyDescent="0.25">
      <c r="A3920"/>
    </row>
    <row r="3921" spans="1:1" ht="15" x14ac:dyDescent="0.25">
      <c r="A3921"/>
    </row>
    <row r="3922" spans="1:1" ht="15" x14ac:dyDescent="0.25">
      <c r="A3922"/>
    </row>
    <row r="3923" spans="1:1" ht="15" x14ac:dyDescent="0.25">
      <c r="A3923"/>
    </row>
    <row r="3924" spans="1:1" ht="15" x14ac:dyDescent="0.25">
      <c r="A3924"/>
    </row>
    <row r="3925" spans="1:1" ht="15" x14ac:dyDescent="0.25">
      <c r="A3925"/>
    </row>
    <row r="3926" spans="1:1" ht="15" x14ac:dyDescent="0.25">
      <c r="A3926"/>
    </row>
    <row r="3927" spans="1:1" ht="15" x14ac:dyDescent="0.25">
      <c r="A3927"/>
    </row>
    <row r="3928" spans="1:1" ht="15" x14ac:dyDescent="0.25">
      <c r="A3928"/>
    </row>
    <row r="3929" spans="1:1" ht="15" x14ac:dyDescent="0.25">
      <c r="A3929"/>
    </row>
    <row r="3930" spans="1:1" ht="15" x14ac:dyDescent="0.25">
      <c r="A3930"/>
    </row>
    <row r="3931" spans="1:1" ht="15" x14ac:dyDescent="0.25">
      <c r="A3931"/>
    </row>
    <row r="3932" spans="1:1" ht="15" x14ac:dyDescent="0.25">
      <c r="A3932"/>
    </row>
    <row r="3933" spans="1:1" ht="15" x14ac:dyDescent="0.25">
      <c r="A3933"/>
    </row>
    <row r="3934" spans="1:1" ht="15" x14ac:dyDescent="0.25">
      <c r="A3934"/>
    </row>
    <row r="3935" spans="1:1" ht="15" x14ac:dyDescent="0.25">
      <c r="A3935"/>
    </row>
    <row r="3936" spans="1:1" ht="15" x14ac:dyDescent="0.25">
      <c r="A3936"/>
    </row>
    <row r="3937" spans="1:1" ht="15" x14ac:dyDescent="0.25">
      <c r="A3937"/>
    </row>
    <row r="3938" spans="1:1" ht="15" x14ac:dyDescent="0.25">
      <c r="A3938"/>
    </row>
    <row r="3939" spans="1:1" ht="15" x14ac:dyDescent="0.25">
      <c r="A3939"/>
    </row>
    <row r="3940" spans="1:1" ht="15" x14ac:dyDescent="0.25">
      <c r="A3940"/>
    </row>
    <row r="3941" spans="1:1" ht="15" x14ac:dyDescent="0.25">
      <c r="A3941"/>
    </row>
    <row r="3942" spans="1:1" ht="15" x14ac:dyDescent="0.25">
      <c r="A3942"/>
    </row>
    <row r="3943" spans="1:1" ht="15" x14ac:dyDescent="0.25">
      <c r="A3943"/>
    </row>
    <row r="3944" spans="1:1" ht="15" x14ac:dyDescent="0.25">
      <c r="A3944"/>
    </row>
    <row r="3945" spans="1:1" ht="15" x14ac:dyDescent="0.25">
      <c r="A3945"/>
    </row>
    <row r="3946" spans="1:1" ht="15" x14ac:dyDescent="0.25">
      <c r="A3946"/>
    </row>
    <row r="3947" spans="1:1" ht="15" x14ac:dyDescent="0.25">
      <c r="A3947"/>
    </row>
    <row r="3948" spans="1:1" ht="15" x14ac:dyDescent="0.25">
      <c r="A3948"/>
    </row>
    <row r="3949" spans="1:1" ht="15" x14ac:dyDescent="0.25">
      <c r="A3949"/>
    </row>
    <row r="3950" spans="1:1" ht="15" x14ac:dyDescent="0.25">
      <c r="A3950"/>
    </row>
    <row r="3951" spans="1:1" ht="15" x14ac:dyDescent="0.25">
      <c r="A3951"/>
    </row>
    <row r="3952" spans="1:1" ht="15" x14ac:dyDescent="0.25">
      <c r="A3952"/>
    </row>
    <row r="3953" spans="1:1" ht="15" x14ac:dyDescent="0.25">
      <c r="A3953"/>
    </row>
    <row r="3954" spans="1:1" ht="15" x14ac:dyDescent="0.25">
      <c r="A3954"/>
    </row>
    <row r="3955" spans="1:1" ht="15" x14ac:dyDescent="0.25">
      <c r="A3955"/>
    </row>
    <row r="3956" spans="1:1" ht="15" x14ac:dyDescent="0.25">
      <c r="A3956"/>
    </row>
    <row r="3957" spans="1:1" ht="15" x14ac:dyDescent="0.25">
      <c r="A3957"/>
    </row>
    <row r="3958" spans="1:1" ht="15" x14ac:dyDescent="0.25">
      <c r="A3958"/>
    </row>
    <row r="3959" spans="1:1" ht="15" x14ac:dyDescent="0.25">
      <c r="A3959"/>
    </row>
    <row r="3960" spans="1:1" ht="15" x14ac:dyDescent="0.25">
      <c r="A3960"/>
    </row>
    <row r="3961" spans="1:1" ht="15" x14ac:dyDescent="0.25">
      <c r="A3961"/>
    </row>
    <row r="3962" spans="1:1" ht="15" x14ac:dyDescent="0.25">
      <c r="A3962"/>
    </row>
    <row r="3963" spans="1:1" ht="15" x14ac:dyDescent="0.25">
      <c r="A3963"/>
    </row>
    <row r="3964" spans="1:1" ht="15" x14ac:dyDescent="0.25">
      <c r="A3964"/>
    </row>
    <row r="3965" spans="1:1" ht="15" x14ac:dyDescent="0.25">
      <c r="A3965"/>
    </row>
    <row r="3966" spans="1:1" ht="15" x14ac:dyDescent="0.25">
      <c r="A3966"/>
    </row>
    <row r="3967" spans="1:1" ht="15" x14ac:dyDescent="0.25">
      <c r="A3967"/>
    </row>
    <row r="3968" spans="1:1" ht="15" x14ac:dyDescent="0.25">
      <c r="A3968"/>
    </row>
    <row r="3969" spans="1:1" ht="15" x14ac:dyDescent="0.25">
      <c r="A3969"/>
    </row>
    <row r="3970" spans="1:1" ht="15" x14ac:dyDescent="0.25">
      <c r="A3970"/>
    </row>
    <row r="3971" spans="1:1" ht="15" x14ac:dyDescent="0.25">
      <c r="A3971"/>
    </row>
    <row r="3972" spans="1:1" ht="15" x14ac:dyDescent="0.25">
      <c r="A3972"/>
    </row>
    <row r="3973" spans="1:1" ht="15" x14ac:dyDescent="0.25">
      <c r="A3973"/>
    </row>
    <row r="3974" spans="1:1" ht="15" x14ac:dyDescent="0.25">
      <c r="A3974"/>
    </row>
    <row r="3975" spans="1:1" ht="15" x14ac:dyDescent="0.25">
      <c r="A3975"/>
    </row>
    <row r="3976" spans="1:1" ht="15" x14ac:dyDescent="0.25">
      <c r="A3976"/>
    </row>
    <row r="3977" spans="1:1" ht="15" x14ac:dyDescent="0.25">
      <c r="A3977"/>
    </row>
    <row r="3978" spans="1:1" ht="15" x14ac:dyDescent="0.25">
      <c r="A3978"/>
    </row>
    <row r="3979" spans="1:1" ht="15" x14ac:dyDescent="0.25">
      <c r="A3979"/>
    </row>
    <row r="3980" spans="1:1" ht="15" x14ac:dyDescent="0.25">
      <c r="A3980"/>
    </row>
    <row r="3981" spans="1:1" ht="15" x14ac:dyDescent="0.25">
      <c r="A3981"/>
    </row>
    <row r="3982" spans="1:1" ht="15" x14ac:dyDescent="0.25">
      <c r="A3982"/>
    </row>
    <row r="3983" spans="1:1" ht="15" x14ac:dyDescent="0.25">
      <c r="A3983"/>
    </row>
    <row r="3984" spans="1:1" ht="15" x14ac:dyDescent="0.25">
      <c r="A3984"/>
    </row>
    <row r="3985" spans="1:1" ht="15" x14ac:dyDescent="0.25">
      <c r="A3985"/>
    </row>
    <row r="3986" spans="1:1" ht="15" x14ac:dyDescent="0.25">
      <c r="A3986"/>
    </row>
    <row r="3987" spans="1:1" ht="15" x14ac:dyDescent="0.25">
      <c r="A3987"/>
    </row>
    <row r="3988" spans="1:1" ht="15" x14ac:dyDescent="0.25">
      <c r="A3988"/>
    </row>
    <row r="3989" spans="1:1" ht="15" x14ac:dyDescent="0.25">
      <c r="A3989"/>
    </row>
    <row r="3990" spans="1:1" ht="15" x14ac:dyDescent="0.25">
      <c r="A3990"/>
    </row>
    <row r="3991" spans="1:1" ht="15" x14ac:dyDescent="0.25">
      <c r="A3991"/>
    </row>
    <row r="3992" spans="1:1" ht="15" x14ac:dyDescent="0.25">
      <c r="A3992"/>
    </row>
    <row r="3993" spans="1:1" ht="15" x14ac:dyDescent="0.25">
      <c r="A3993"/>
    </row>
    <row r="3994" spans="1:1" ht="15" x14ac:dyDescent="0.25">
      <c r="A3994"/>
    </row>
    <row r="3995" spans="1:1" ht="15" x14ac:dyDescent="0.25">
      <c r="A3995"/>
    </row>
    <row r="3996" spans="1:1" ht="15" x14ac:dyDescent="0.25">
      <c r="A3996"/>
    </row>
    <row r="3997" spans="1:1" ht="15" x14ac:dyDescent="0.25">
      <c r="A3997"/>
    </row>
    <row r="3998" spans="1:1" ht="15" x14ac:dyDescent="0.25">
      <c r="A3998"/>
    </row>
    <row r="3999" spans="1:1" ht="15" x14ac:dyDescent="0.25">
      <c r="A3999"/>
    </row>
    <row r="4000" spans="1:1" ht="15" x14ac:dyDescent="0.25">
      <c r="A4000"/>
    </row>
    <row r="4001" spans="1:1" ht="15" x14ac:dyDescent="0.25">
      <c r="A4001"/>
    </row>
    <row r="4002" spans="1:1" ht="15" x14ac:dyDescent="0.25">
      <c r="A4002"/>
    </row>
    <row r="4003" spans="1:1" ht="15" x14ac:dyDescent="0.25">
      <c r="A4003"/>
    </row>
    <row r="4004" spans="1:1" ht="15" x14ac:dyDescent="0.25">
      <c r="A4004"/>
    </row>
    <row r="4005" spans="1:1" ht="15" x14ac:dyDescent="0.25">
      <c r="A4005"/>
    </row>
    <row r="4006" spans="1:1" ht="15" x14ac:dyDescent="0.25">
      <c r="A4006"/>
    </row>
    <row r="4007" spans="1:1" ht="15" x14ac:dyDescent="0.25">
      <c r="A4007"/>
    </row>
    <row r="4008" spans="1:1" ht="15" x14ac:dyDescent="0.25">
      <c r="A4008"/>
    </row>
    <row r="4009" spans="1:1" ht="15" x14ac:dyDescent="0.25">
      <c r="A4009"/>
    </row>
    <row r="4010" spans="1:1" ht="15" x14ac:dyDescent="0.25">
      <c r="A4010"/>
    </row>
    <row r="4011" spans="1:1" ht="15" x14ac:dyDescent="0.25">
      <c r="A4011"/>
    </row>
    <row r="4012" spans="1:1" ht="15" x14ac:dyDescent="0.25">
      <c r="A4012"/>
    </row>
    <row r="4013" spans="1:1" ht="15" x14ac:dyDescent="0.25">
      <c r="A4013"/>
    </row>
    <row r="4014" spans="1:1" ht="15" x14ac:dyDescent="0.25">
      <c r="A4014"/>
    </row>
    <row r="4015" spans="1:1" ht="15" x14ac:dyDescent="0.25">
      <c r="A4015"/>
    </row>
    <row r="4016" spans="1:1" ht="15" x14ac:dyDescent="0.25">
      <c r="A4016"/>
    </row>
    <row r="4017" spans="1:1" ht="15" x14ac:dyDescent="0.25">
      <c r="A4017"/>
    </row>
    <row r="4018" spans="1:1" ht="15" x14ac:dyDescent="0.25">
      <c r="A4018"/>
    </row>
    <row r="4019" spans="1:1" ht="15" x14ac:dyDescent="0.25">
      <c r="A4019"/>
    </row>
    <row r="4020" spans="1:1" ht="15" x14ac:dyDescent="0.25">
      <c r="A4020"/>
    </row>
    <row r="4021" spans="1:1" ht="15" x14ac:dyDescent="0.25">
      <c r="A4021"/>
    </row>
    <row r="4022" spans="1:1" ht="15" x14ac:dyDescent="0.25">
      <c r="A4022"/>
    </row>
    <row r="4023" spans="1:1" ht="15" x14ac:dyDescent="0.25">
      <c r="A4023"/>
    </row>
    <row r="4024" spans="1:1" ht="15" x14ac:dyDescent="0.25">
      <c r="A4024"/>
    </row>
    <row r="4025" spans="1:1" ht="15" x14ac:dyDescent="0.25">
      <c r="A4025"/>
    </row>
    <row r="4026" spans="1:1" ht="15" x14ac:dyDescent="0.25">
      <c r="A4026"/>
    </row>
    <row r="4027" spans="1:1" ht="15" x14ac:dyDescent="0.25">
      <c r="A4027"/>
    </row>
    <row r="4028" spans="1:1" ht="15" x14ac:dyDescent="0.25">
      <c r="A4028"/>
    </row>
    <row r="4029" spans="1:1" ht="15" x14ac:dyDescent="0.25">
      <c r="A4029"/>
    </row>
    <row r="4030" spans="1:1" ht="15" x14ac:dyDescent="0.25">
      <c r="A4030"/>
    </row>
    <row r="4031" spans="1:1" ht="15" x14ac:dyDescent="0.25">
      <c r="A4031"/>
    </row>
    <row r="4032" spans="1:1" ht="15" x14ac:dyDescent="0.25">
      <c r="A4032"/>
    </row>
    <row r="4033" spans="1:1" ht="15" x14ac:dyDescent="0.25">
      <c r="A4033"/>
    </row>
    <row r="4034" spans="1:1" ht="15" x14ac:dyDescent="0.25">
      <c r="A4034"/>
    </row>
    <row r="4035" spans="1:1" ht="15" x14ac:dyDescent="0.25">
      <c r="A4035"/>
    </row>
    <row r="4036" spans="1:1" ht="15" x14ac:dyDescent="0.25">
      <c r="A4036"/>
    </row>
    <row r="4037" spans="1:1" ht="15" x14ac:dyDescent="0.25">
      <c r="A4037"/>
    </row>
    <row r="4038" spans="1:1" ht="15" x14ac:dyDescent="0.25">
      <c r="A4038"/>
    </row>
    <row r="4039" spans="1:1" ht="15" x14ac:dyDescent="0.25">
      <c r="A4039"/>
    </row>
    <row r="4040" spans="1:1" ht="15" x14ac:dyDescent="0.25">
      <c r="A4040"/>
    </row>
    <row r="4041" spans="1:1" ht="15" x14ac:dyDescent="0.25">
      <c r="A4041"/>
    </row>
    <row r="4042" spans="1:1" ht="15" x14ac:dyDescent="0.25">
      <c r="A4042"/>
    </row>
    <row r="4043" spans="1:1" ht="15" x14ac:dyDescent="0.25">
      <c r="A4043"/>
    </row>
    <row r="4044" spans="1:1" ht="15" x14ac:dyDescent="0.25">
      <c r="A4044"/>
    </row>
    <row r="4045" spans="1:1" ht="15" x14ac:dyDescent="0.25">
      <c r="A4045"/>
    </row>
    <row r="4046" spans="1:1" ht="15" x14ac:dyDescent="0.25">
      <c r="A4046"/>
    </row>
    <row r="4047" spans="1:1" ht="15" x14ac:dyDescent="0.25">
      <c r="A4047"/>
    </row>
    <row r="4048" spans="1:1" ht="15" x14ac:dyDescent="0.25">
      <c r="A4048"/>
    </row>
    <row r="4049" spans="1:1" ht="15" x14ac:dyDescent="0.25">
      <c r="A4049"/>
    </row>
    <row r="4050" spans="1:1" ht="15" x14ac:dyDescent="0.25">
      <c r="A4050"/>
    </row>
    <row r="4051" spans="1:1" ht="15" x14ac:dyDescent="0.25">
      <c r="A4051"/>
    </row>
    <row r="4052" spans="1:1" ht="15" x14ac:dyDescent="0.25">
      <c r="A4052"/>
    </row>
    <row r="4053" spans="1:1" ht="15" x14ac:dyDescent="0.25">
      <c r="A4053"/>
    </row>
    <row r="4054" spans="1:1" ht="15" x14ac:dyDescent="0.25">
      <c r="A4054"/>
    </row>
    <row r="4055" spans="1:1" ht="15" x14ac:dyDescent="0.25">
      <c r="A4055"/>
    </row>
    <row r="4056" spans="1:1" ht="15" x14ac:dyDescent="0.25">
      <c r="A4056"/>
    </row>
    <row r="4057" spans="1:1" ht="15" x14ac:dyDescent="0.25">
      <c r="A4057"/>
    </row>
    <row r="4058" spans="1:1" ht="15" x14ac:dyDescent="0.25">
      <c r="A4058"/>
    </row>
    <row r="4059" spans="1:1" ht="15" x14ac:dyDescent="0.25">
      <c r="A4059"/>
    </row>
    <row r="4060" spans="1:1" ht="15" x14ac:dyDescent="0.25">
      <c r="A4060"/>
    </row>
    <row r="4061" spans="1:1" ht="15" x14ac:dyDescent="0.25">
      <c r="A4061"/>
    </row>
    <row r="4062" spans="1:1" ht="15" x14ac:dyDescent="0.25">
      <c r="A4062"/>
    </row>
    <row r="4063" spans="1:1" ht="15" x14ac:dyDescent="0.25">
      <c r="A4063"/>
    </row>
    <row r="4064" spans="1:1" ht="15" x14ac:dyDescent="0.25">
      <c r="A4064"/>
    </row>
    <row r="4065" spans="1:1" ht="15" x14ac:dyDescent="0.25">
      <c r="A4065"/>
    </row>
    <row r="4066" spans="1:1" ht="15" x14ac:dyDescent="0.25">
      <c r="A4066"/>
    </row>
    <row r="4067" spans="1:1" ht="15" x14ac:dyDescent="0.25">
      <c r="A4067"/>
    </row>
    <row r="4068" spans="1:1" ht="15" x14ac:dyDescent="0.25">
      <c r="A4068"/>
    </row>
    <row r="4069" spans="1:1" ht="15" x14ac:dyDescent="0.25">
      <c r="A4069"/>
    </row>
    <row r="4070" spans="1:1" ht="15" x14ac:dyDescent="0.25">
      <c r="A4070"/>
    </row>
    <row r="4071" spans="1:1" ht="15" x14ac:dyDescent="0.25">
      <c r="A4071"/>
    </row>
    <row r="4072" spans="1:1" ht="15" x14ac:dyDescent="0.25">
      <c r="A4072"/>
    </row>
    <row r="4073" spans="1:1" ht="15" x14ac:dyDescent="0.25">
      <c r="A4073"/>
    </row>
    <row r="4074" spans="1:1" ht="15" x14ac:dyDescent="0.25">
      <c r="A4074"/>
    </row>
    <row r="4075" spans="1:1" ht="15" x14ac:dyDescent="0.25">
      <c r="A4075"/>
    </row>
    <row r="4076" spans="1:1" ht="15" x14ac:dyDescent="0.25">
      <c r="A4076"/>
    </row>
    <row r="4077" spans="1:1" ht="15" x14ac:dyDescent="0.25">
      <c r="A4077"/>
    </row>
    <row r="4078" spans="1:1" ht="15" x14ac:dyDescent="0.25">
      <c r="A4078"/>
    </row>
    <row r="4079" spans="1:1" ht="15" x14ac:dyDescent="0.25">
      <c r="A4079"/>
    </row>
    <row r="4080" spans="1:1" ht="15" x14ac:dyDescent="0.25">
      <c r="A4080"/>
    </row>
    <row r="4081" spans="1:1" ht="15" x14ac:dyDescent="0.25">
      <c r="A4081"/>
    </row>
    <row r="4082" spans="1:1" ht="15" x14ac:dyDescent="0.25">
      <c r="A4082"/>
    </row>
    <row r="4083" spans="1:1" ht="15" x14ac:dyDescent="0.25">
      <c r="A4083"/>
    </row>
    <row r="4084" spans="1:1" ht="15" x14ac:dyDescent="0.25">
      <c r="A4084"/>
    </row>
    <row r="4085" spans="1:1" ht="15" x14ac:dyDescent="0.25">
      <c r="A4085"/>
    </row>
    <row r="4086" spans="1:1" ht="15" x14ac:dyDescent="0.25">
      <c r="A4086"/>
    </row>
    <row r="4087" spans="1:1" ht="15" x14ac:dyDescent="0.25">
      <c r="A4087"/>
    </row>
    <row r="4088" spans="1:1" ht="15" x14ac:dyDescent="0.25">
      <c r="A4088"/>
    </row>
    <row r="4089" spans="1:1" ht="15" x14ac:dyDescent="0.25">
      <c r="A4089"/>
    </row>
    <row r="4090" spans="1:1" ht="15" x14ac:dyDescent="0.25">
      <c r="A4090"/>
    </row>
    <row r="4091" spans="1:1" ht="15" x14ac:dyDescent="0.25">
      <c r="A4091"/>
    </row>
    <row r="4092" spans="1:1" ht="15" x14ac:dyDescent="0.25">
      <c r="A4092"/>
    </row>
    <row r="4093" spans="1:1" ht="15" x14ac:dyDescent="0.25">
      <c r="A4093"/>
    </row>
    <row r="4094" spans="1:1" ht="15" x14ac:dyDescent="0.25">
      <c r="A4094"/>
    </row>
    <row r="4095" spans="1:1" ht="15" x14ac:dyDescent="0.25">
      <c r="A4095"/>
    </row>
    <row r="4096" spans="1:1" ht="15" x14ac:dyDescent="0.25">
      <c r="A4096"/>
    </row>
    <row r="4097" spans="1:1" ht="15" x14ac:dyDescent="0.25">
      <c r="A4097"/>
    </row>
    <row r="4098" spans="1:1" ht="15" x14ac:dyDescent="0.25">
      <c r="A4098"/>
    </row>
    <row r="4099" spans="1:1" ht="15" x14ac:dyDescent="0.25">
      <c r="A4099"/>
    </row>
    <row r="4100" spans="1:1" ht="15" x14ac:dyDescent="0.25">
      <c r="A4100"/>
    </row>
    <row r="4101" spans="1:1" ht="15" x14ac:dyDescent="0.25">
      <c r="A4101"/>
    </row>
    <row r="4102" spans="1:1" ht="15" x14ac:dyDescent="0.25">
      <c r="A4102"/>
    </row>
    <row r="4103" spans="1:1" ht="15" x14ac:dyDescent="0.25">
      <c r="A4103"/>
    </row>
    <row r="4104" spans="1:1" ht="15" x14ac:dyDescent="0.25">
      <c r="A4104"/>
    </row>
    <row r="4105" spans="1:1" ht="15" x14ac:dyDescent="0.25">
      <c r="A4105"/>
    </row>
    <row r="4106" spans="1:1" ht="15" x14ac:dyDescent="0.25">
      <c r="A4106"/>
    </row>
    <row r="4107" spans="1:1" ht="15" x14ac:dyDescent="0.25">
      <c r="A4107"/>
    </row>
    <row r="4108" spans="1:1" ht="15" x14ac:dyDescent="0.25">
      <c r="A4108"/>
    </row>
    <row r="4109" spans="1:1" ht="15" x14ac:dyDescent="0.25">
      <c r="A4109"/>
    </row>
    <row r="4110" spans="1:1" ht="15" x14ac:dyDescent="0.25">
      <c r="A4110"/>
    </row>
    <row r="4111" spans="1:1" ht="15" x14ac:dyDescent="0.25">
      <c r="A4111"/>
    </row>
    <row r="4112" spans="1:1" ht="15" x14ac:dyDescent="0.25">
      <c r="A4112"/>
    </row>
    <row r="4113" spans="1:1" ht="15" x14ac:dyDescent="0.25">
      <c r="A4113"/>
    </row>
    <row r="4114" spans="1:1" ht="15" x14ac:dyDescent="0.25">
      <c r="A4114"/>
    </row>
    <row r="4115" spans="1:1" ht="15" x14ac:dyDescent="0.25">
      <c r="A4115"/>
    </row>
    <row r="4116" spans="1:1" ht="15" x14ac:dyDescent="0.25">
      <c r="A4116"/>
    </row>
    <row r="4117" spans="1:1" ht="15" x14ac:dyDescent="0.25">
      <c r="A4117"/>
    </row>
    <row r="4118" spans="1:1" ht="15" x14ac:dyDescent="0.25">
      <c r="A4118"/>
    </row>
    <row r="4119" spans="1:1" ht="15" x14ac:dyDescent="0.25">
      <c r="A4119"/>
    </row>
    <row r="4120" spans="1:1" ht="15" x14ac:dyDescent="0.25">
      <c r="A4120"/>
    </row>
    <row r="4121" spans="1:1" ht="15" x14ac:dyDescent="0.25">
      <c r="A4121"/>
    </row>
    <row r="4122" spans="1:1" ht="15" x14ac:dyDescent="0.25">
      <c r="A4122"/>
    </row>
    <row r="4123" spans="1:1" ht="15" x14ac:dyDescent="0.25">
      <c r="A4123"/>
    </row>
    <row r="4124" spans="1:1" ht="15" x14ac:dyDescent="0.25">
      <c r="A4124"/>
    </row>
    <row r="4125" spans="1:1" ht="15" x14ac:dyDescent="0.25">
      <c r="A4125"/>
    </row>
    <row r="4126" spans="1:1" ht="15" x14ac:dyDescent="0.25">
      <c r="A4126"/>
    </row>
    <row r="4127" spans="1:1" ht="15" x14ac:dyDescent="0.25">
      <c r="A4127"/>
    </row>
    <row r="4128" spans="1:1" ht="15" x14ac:dyDescent="0.25">
      <c r="A4128"/>
    </row>
    <row r="4129" spans="1:1" ht="15" x14ac:dyDescent="0.25">
      <c r="A4129"/>
    </row>
    <row r="4130" spans="1:1" ht="15" x14ac:dyDescent="0.25">
      <c r="A4130"/>
    </row>
    <row r="4131" spans="1:1" ht="15" x14ac:dyDescent="0.25">
      <c r="A4131"/>
    </row>
    <row r="4132" spans="1:1" ht="15" x14ac:dyDescent="0.25">
      <c r="A4132"/>
    </row>
    <row r="4133" spans="1:1" ht="15" x14ac:dyDescent="0.25">
      <c r="A4133"/>
    </row>
    <row r="4134" spans="1:1" ht="15" x14ac:dyDescent="0.25">
      <c r="A4134"/>
    </row>
    <row r="4135" spans="1:1" ht="15" x14ac:dyDescent="0.25">
      <c r="A4135"/>
    </row>
    <row r="4136" spans="1:1" ht="15" x14ac:dyDescent="0.25">
      <c r="A4136"/>
    </row>
    <row r="4137" spans="1:1" ht="15" x14ac:dyDescent="0.25">
      <c r="A4137"/>
    </row>
    <row r="4138" spans="1:1" ht="15" x14ac:dyDescent="0.25">
      <c r="A4138"/>
    </row>
    <row r="4139" spans="1:1" ht="15" x14ac:dyDescent="0.25">
      <c r="A4139"/>
    </row>
    <row r="4140" spans="1:1" ht="15" x14ac:dyDescent="0.25">
      <c r="A4140"/>
    </row>
    <row r="4141" spans="1:1" ht="15" x14ac:dyDescent="0.25">
      <c r="A4141"/>
    </row>
    <row r="4142" spans="1:1" ht="15" x14ac:dyDescent="0.25">
      <c r="A4142"/>
    </row>
    <row r="4143" spans="1:1" ht="15" x14ac:dyDescent="0.25">
      <c r="A4143"/>
    </row>
    <row r="4144" spans="1:1" ht="15" x14ac:dyDescent="0.25">
      <c r="A4144"/>
    </row>
    <row r="4145" spans="1:1" ht="15" x14ac:dyDescent="0.25">
      <c r="A4145"/>
    </row>
    <row r="4146" spans="1:1" ht="15" x14ac:dyDescent="0.25">
      <c r="A4146"/>
    </row>
    <row r="4147" spans="1:1" ht="15" x14ac:dyDescent="0.25">
      <c r="A4147"/>
    </row>
    <row r="4148" spans="1:1" ht="15" x14ac:dyDescent="0.25">
      <c r="A4148"/>
    </row>
    <row r="4149" spans="1:1" ht="15" x14ac:dyDescent="0.25">
      <c r="A4149"/>
    </row>
    <row r="4150" spans="1:1" ht="15" x14ac:dyDescent="0.25">
      <c r="A4150"/>
    </row>
    <row r="4151" spans="1:1" ht="15" x14ac:dyDescent="0.25">
      <c r="A4151"/>
    </row>
    <row r="4152" spans="1:1" ht="15" x14ac:dyDescent="0.25">
      <c r="A4152"/>
    </row>
    <row r="4153" spans="1:1" ht="15" x14ac:dyDescent="0.25">
      <c r="A4153"/>
    </row>
    <row r="4154" spans="1:1" ht="15" x14ac:dyDescent="0.25">
      <c r="A4154"/>
    </row>
    <row r="4155" spans="1:1" ht="15" x14ac:dyDescent="0.25">
      <c r="A4155"/>
    </row>
    <row r="4156" spans="1:1" ht="15" x14ac:dyDescent="0.25">
      <c r="A4156"/>
    </row>
    <row r="4157" spans="1:1" ht="15" x14ac:dyDescent="0.25">
      <c r="A4157"/>
    </row>
    <row r="4158" spans="1:1" ht="15" x14ac:dyDescent="0.25">
      <c r="A4158"/>
    </row>
    <row r="4159" spans="1:1" ht="15" x14ac:dyDescent="0.25">
      <c r="A4159"/>
    </row>
    <row r="4160" spans="1:1" ht="15" x14ac:dyDescent="0.25">
      <c r="A4160"/>
    </row>
    <row r="4161" spans="1:1" ht="15" x14ac:dyDescent="0.25">
      <c r="A4161"/>
    </row>
    <row r="4162" spans="1:1" ht="15" x14ac:dyDescent="0.25">
      <c r="A4162"/>
    </row>
    <row r="4163" spans="1:1" ht="15" x14ac:dyDescent="0.25">
      <c r="A4163"/>
    </row>
    <row r="4164" spans="1:1" ht="15" x14ac:dyDescent="0.25">
      <c r="A4164"/>
    </row>
    <row r="4165" spans="1:1" ht="15" x14ac:dyDescent="0.25">
      <c r="A4165"/>
    </row>
    <row r="4166" spans="1:1" ht="15" x14ac:dyDescent="0.25">
      <c r="A4166"/>
    </row>
    <row r="4167" spans="1:1" ht="15" x14ac:dyDescent="0.25">
      <c r="A4167"/>
    </row>
    <row r="4168" spans="1:1" ht="15" x14ac:dyDescent="0.25">
      <c r="A4168"/>
    </row>
    <row r="4169" spans="1:1" ht="15" x14ac:dyDescent="0.25">
      <c r="A4169"/>
    </row>
    <row r="4170" spans="1:1" ht="15" x14ac:dyDescent="0.25">
      <c r="A4170"/>
    </row>
    <row r="4171" spans="1:1" ht="15" x14ac:dyDescent="0.25">
      <c r="A4171"/>
    </row>
    <row r="4172" spans="1:1" ht="15" x14ac:dyDescent="0.25">
      <c r="A4172"/>
    </row>
    <row r="4173" spans="1:1" ht="15" x14ac:dyDescent="0.25">
      <c r="A4173"/>
    </row>
    <row r="4174" spans="1:1" ht="15" x14ac:dyDescent="0.25">
      <c r="A4174"/>
    </row>
    <row r="4175" spans="1:1" ht="15" x14ac:dyDescent="0.25">
      <c r="A4175"/>
    </row>
    <row r="4176" spans="1:1" ht="15" x14ac:dyDescent="0.25">
      <c r="A4176"/>
    </row>
    <row r="4177" spans="1:1" ht="15" x14ac:dyDescent="0.25">
      <c r="A4177"/>
    </row>
    <row r="4178" spans="1:1" ht="15" x14ac:dyDescent="0.25">
      <c r="A4178"/>
    </row>
    <row r="4179" spans="1:1" ht="15" x14ac:dyDescent="0.25">
      <c r="A4179"/>
    </row>
    <row r="4180" spans="1:1" ht="15" x14ac:dyDescent="0.25">
      <c r="A4180"/>
    </row>
    <row r="4181" spans="1:1" ht="15" x14ac:dyDescent="0.25">
      <c r="A4181"/>
    </row>
    <row r="4182" spans="1:1" ht="15" x14ac:dyDescent="0.25">
      <c r="A4182"/>
    </row>
    <row r="4183" spans="1:1" ht="15" x14ac:dyDescent="0.25">
      <c r="A4183"/>
    </row>
    <row r="4184" spans="1:1" ht="15" x14ac:dyDescent="0.25">
      <c r="A4184"/>
    </row>
    <row r="4185" spans="1:1" ht="15" x14ac:dyDescent="0.25">
      <c r="A4185"/>
    </row>
    <row r="4186" spans="1:1" ht="15" x14ac:dyDescent="0.25">
      <c r="A4186"/>
    </row>
    <row r="4187" spans="1:1" ht="15" x14ac:dyDescent="0.25">
      <c r="A4187"/>
    </row>
    <row r="4188" spans="1:1" ht="15" x14ac:dyDescent="0.25">
      <c r="A4188"/>
    </row>
    <row r="4189" spans="1:1" ht="15" x14ac:dyDescent="0.25">
      <c r="A4189"/>
    </row>
    <row r="4190" spans="1:1" ht="15" x14ac:dyDescent="0.25">
      <c r="A4190"/>
    </row>
    <row r="4191" spans="1:1" ht="15" x14ac:dyDescent="0.25">
      <c r="A4191"/>
    </row>
    <row r="4192" spans="1:1" ht="15" x14ac:dyDescent="0.25">
      <c r="A4192"/>
    </row>
    <row r="4193" spans="1:1" ht="15" x14ac:dyDescent="0.25">
      <c r="A4193"/>
    </row>
    <row r="4194" spans="1:1" ht="15" x14ac:dyDescent="0.25">
      <c r="A4194"/>
    </row>
    <row r="4195" spans="1:1" ht="15" x14ac:dyDescent="0.25">
      <c r="A4195"/>
    </row>
    <row r="4196" spans="1:1" ht="15" x14ac:dyDescent="0.25">
      <c r="A4196"/>
    </row>
    <row r="4197" spans="1:1" ht="15" x14ac:dyDescent="0.25">
      <c r="A4197"/>
    </row>
    <row r="4198" spans="1:1" ht="15" x14ac:dyDescent="0.25">
      <c r="A4198"/>
    </row>
    <row r="4199" spans="1:1" ht="15" x14ac:dyDescent="0.25">
      <c r="A4199"/>
    </row>
    <row r="4200" spans="1:1" ht="15" x14ac:dyDescent="0.25">
      <c r="A4200"/>
    </row>
    <row r="4201" spans="1:1" ht="15" x14ac:dyDescent="0.25">
      <c r="A4201"/>
    </row>
    <row r="4202" spans="1:1" ht="15" x14ac:dyDescent="0.25">
      <c r="A4202"/>
    </row>
    <row r="4203" spans="1:1" ht="15" x14ac:dyDescent="0.25">
      <c r="A4203"/>
    </row>
    <row r="4204" spans="1:1" ht="15" x14ac:dyDescent="0.25">
      <c r="A4204"/>
    </row>
    <row r="4205" spans="1:1" ht="15" x14ac:dyDescent="0.25">
      <c r="A4205"/>
    </row>
    <row r="4206" spans="1:1" ht="15" x14ac:dyDescent="0.25">
      <c r="A4206"/>
    </row>
    <row r="4207" spans="1:1" ht="15" x14ac:dyDescent="0.25">
      <c r="A4207"/>
    </row>
    <row r="4208" spans="1:1" ht="15" x14ac:dyDescent="0.25">
      <c r="A4208"/>
    </row>
    <row r="4209" spans="1:1" ht="15" x14ac:dyDescent="0.25">
      <c r="A4209"/>
    </row>
    <row r="4210" spans="1:1" ht="15" x14ac:dyDescent="0.25">
      <c r="A4210"/>
    </row>
    <row r="4211" spans="1:1" ht="15" x14ac:dyDescent="0.25">
      <c r="A4211"/>
    </row>
    <row r="4212" spans="1:1" ht="15" x14ac:dyDescent="0.25">
      <c r="A4212"/>
    </row>
    <row r="4213" spans="1:1" ht="15" x14ac:dyDescent="0.25">
      <c r="A4213"/>
    </row>
    <row r="4214" spans="1:1" ht="15" x14ac:dyDescent="0.25">
      <c r="A4214"/>
    </row>
    <row r="4215" spans="1:1" ht="15" x14ac:dyDescent="0.25">
      <c r="A4215"/>
    </row>
    <row r="4216" spans="1:1" ht="15" x14ac:dyDescent="0.25">
      <c r="A4216"/>
    </row>
    <row r="4217" spans="1:1" ht="15" x14ac:dyDescent="0.25">
      <c r="A4217"/>
    </row>
    <row r="4218" spans="1:1" ht="15" x14ac:dyDescent="0.25">
      <c r="A4218"/>
    </row>
    <row r="4219" spans="1:1" ht="15" x14ac:dyDescent="0.25">
      <c r="A4219"/>
    </row>
    <row r="4220" spans="1:1" ht="15" x14ac:dyDescent="0.25">
      <c r="A4220"/>
    </row>
    <row r="4221" spans="1:1" ht="15" x14ac:dyDescent="0.25">
      <c r="A4221"/>
    </row>
    <row r="4222" spans="1:1" ht="15" x14ac:dyDescent="0.25">
      <c r="A4222"/>
    </row>
    <row r="4223" spans="1:1" ht="15" x14ac:dyDescent="0.25">
      <c r="A4223"/>
    </row>
    <row r="4224" spans="1:1" ht="15" x14ac:dyDescent="0.25">
      <c r="A4224"/>
    </row>
    <row r="4225" spans="1:1" ht="15" x14ac:dyDescent="0.25">
      <c r="A4225"/>
    </row>
    <row r="4226" spans="1:1" ht="15" x14ac:dyDescent="0.25">
      <c r="A4226"/>
    </row>
    <row r="4227" spans="1:1" ht="15" x14ac:dyDescent="0.25">
      <c r="A4227"/>
    </row>
    <row r="4228" spans="1:1" ht="15" x14ac:dyDescent="0.25">
      <c r="A4228"/>
    </row>
    <row r="4229" spans="1:1" ht="15" x14ac:dyDescent="0.25">
      <c r="A4229"/>
    </row>
    <row r="4230" spans="1:1" ht="15" x14ac:dyDescent="0.25">
      <c r="A4230"/>
    </row>
    <row r="4231" spans="1:1" ht="15" x14ac:dyDescent="0.25">
      <c r="A4231"/>
    </row>
    <row r="4232" spans="1:1" ht="15" x14ac:dyDescent="0.25">
      <c r="A4232"/>
    </row>
    <row r="4233" spans="1:1" ht="15" x14ac:dyDescent="0.25">
      <c r="A4233"/>
    </row>
    <row r="4234" spans="1:1" ht="15" x14ac:dyDescent="0.25">
      <c r="A4234"/>
    </row>
    <row r="4235" spans="1:1" ht="15" x14ac:dyDescent="0.25">
      <c r="A4235"/>
    </row>
    <row r="4236" spans="1:1" ht="15" x14ac:dyDescent="0.25">
      <c r="A4236"/>
    </row>
    <row r="4237" spans="1:1" ht="15" x14ac:dyDescent="0.25">
      <c r="A4237"/>
    </row>
    <row r="4238" spans="1:1" ht="15" x14ac:dyDescent="0.25">
      <c r="A4238"/>
    </row>
    <row r="4239" spans="1:1" ht="15" x14ac:dyDescent="0.25">
      <c r="A4239"/>
    </row>
    <row r="4240" spans="1:1" ht="15" x14ac:dyDescent="0.25">
      <c r="A4240"/>
    </row>
    <row r="4241" spans="1:1" ht="15" x14ac:dyDescent="0.25">
      <c r="A4241"/>
    </row>
    <row r="4242" spans="1:1" ht="15" x14ac:dyDescent="0.25">
      <c r="A4242"/>
    </row>
    <row r="4243" spans="1:1" ht="15" x14ac:dyDescent="0.25">
      <c r="A4243"/>
    </row>
    <row r="4244" spans="1:1" ht="15" x14ac:dyDescent="0.25">
      <c r="A4244"/>
    </row>
    <row r="4245" spans="1:1" ht="15" x14ac:dyDescent="0.25">
      <c r="A4245"/>
    </row>
    <row r="4246" spans="1:1" ht="15" x14ac:dyDescent="0.25">
      <c r="A4246"/>
    </row>
    <row r="4247" spans="1:1" ht="15" x14ac:dyDescent="0.25">
      <c r="A4247"/>
    </row>
    <row r="4248" spans="1:1" ht="15" x14ac:dyDescent="0.25">
      <c r="A4248"/>
    </row>
    <row r="4249" spans="1:1" ht="15" x14ac:dyDescent="0.25">
      <c r="A4249"/>
    </row>
    <row r="4250" spans="1:1" ht="15" x14ac:dyDescent="0.25">
      <c r="A4250"/>
    </row>
    <row r="4251" spans="1:1" ht="15" x14ac:dyDescent="0.25">
      <c r="A4251"/>
    </row>
    <row r="4252" spans="1:1" ht="15" x14ac:dyDescent="0.25">
      <c r="A4252"/>
    </row>
    <row r="4253" spans="1:1" ht="15" x14ac:dyDescent="0.25">
      <c r="A4253"/>
    </row>
    <row r="4254" spans="1:1" ht="15" x14ac:dyDescent="0.25">
      <c r="A4254"/>
    </row>
    <row r="4255" spans="1:1" ht="15" x14ac:dyDescent="0.25">
      <c r="A4255"/>
    </row>
    <row r="4256" spans="1:1" ht="15" x14ac:dyDescent="0.25">
      <c r="A4256"/>
    </row>
    <row r="4257" spans="1:1" ht="15" x14ac:dyDescent="0.25">
      <c r="A4257"/>
    </row>
    <row r="4258" spans="1:1" ht="15" x14ac:dyDescent="0.25">
      <c r="A4258"/>
    </row>
    <row r="4259" spans="1:1" ht="15" x14ac:dyDescent="0.25">
      <c r="A4259"/>
    </row>
    <row r="4260" spans="1:1" ht="15" x14ac:dyDescent="0.25">
      <c r="A4260"/>
    </row>
    <row r="4261" spans="1:1" ht="15" x14ac:dyDescent="0.25">
      <c r="A4261"/>
    </row>
    <row r="4262" spans="1:1" ht="15" x14ac:dyDescent="0.25">
      <c r="A4262"/>
    </row>
    <row r="4263" spans="1:1" ht="15" x14ac:dyDescent="0.25">
      <c r="A4263"/>
    </row>
    <row r="4264" spans="1:1" ht="15" x14ac:dyDescent="0.25">
      <c r="A4264"/>
    </row>
    <row r="4265" spans="1:1" ht="15" x14ac:dyDescent="0.25">
      <c r="A4265"/>
    </row>
    <row r="4266" spans="1:1" ht="15" x14ac:dyDescent="0.25">
      <c r="A4266"/>
    </row>
    <row r="4267" spans="1:1" ht="15" x14ac:dyDescent="0.25">
      <c r="A4267"/>
    </row>
    <row r="4268" spans="1:1" ht="15" x14ac:dyDescent="0.25">
      <c r="A4268"/>
    </row>
    <row r="4269" spans="1:1" ht="15" x14ac:dyDescent="0.25">
      <c r="A4269"/>
    </row>
    <row r="4270" spans="1:1" ht="15" x14ac:dyDescent="0.25">
      <c r="A4270"/>
    </row>
    <row r="4271" spans="1:1" ht="15" x14ac:dyDescent="0.25">
      <c r="A4271"/>
    </row>
    <row r="4272" spans="1:1" ht="15" x14ac:dyDescent="0.25">
      <c r="A4272"/>
    </row>
    <row r="4273" spans="1:1" ht="15" x14ac:dyDescent="0.25">
      <c r="A4273"/>
    </row>
    <row r="4274" spans="1:1" ht="15" x14ac:dyDescent="0.25">
      <c r="A4274"/>
    </row>
    <row r="4275" spans="1:1" ht="15" x14ac:dyDescent="0.25">
      <c r="A4275"/>
    </row>
    <row r="4276" spans="1:1" ht="15" x14ac:dyDescent="0.25">
      <c r="A4276"/>
    </row>
    <row r="4277" spans="1:1" ht="15" x14ac:dyDescent="0.25">
      <c r="A4277"/>
    </row>
    <row r="4278" spans="1:1" ht="15" x14ac:dyDescent="0.25">
      <c r="A4278"/>
    </row>
    <row r="4279" spans="1:1" ht="15" x14ac:dyDescent="0.25">
      <c r="A4279"/>
    </row>
    <row r="4280" spans="1:1" ht="15" x14ac:dyDescent="0.25">
      <c r="A4280"/>
    </row>
    <row r="4281" spans="1:1" ht="15" x14ac:dyDescent="0.25">
      <c r="A4281"/>
    </row>
    <row r="4282" spans="1:1" ht="15" x14ac:dyDescent="0.25">
      <c r="A4282"/>
    </row>
    <row r="4283" spans="1:1" ht="15" x14ac:dyDescent="0.25">
      <c r="A4283"/>
    </row>
    <row r="4284" spans="1:1" ht="15" x14ac:dyDescent="0.25">
      <c r="A4284"/>
    </row>
    <row r="4285" spans="1:1" ht="15" x14ac:dyDescent="0.25">
      <c r="A4285"/>
    </row>
    <row r="4286" spans="1:1" ht="15" x14ac:dyDescent="0.25">
      <c r="A4286"/>
    </row>
    <row r="4287" spans="1:1" ht="15" x14ac:dyDescent="0.25">
      <c r="A4287"/>
    </row>
    <row r="4288" spans="1:1" ht="15" x14ac:dyDescent="0.25">
      <c r="A4288"/>
    </row>
    <row r="4289" spans="1:1" ht="15" x14ac:dyDescent="0.25">
      <c r="A4289"/>
    </row>
    <row r="4290" spans="1:1" ht="15" x14ac:dyDescent="0.25">
      <c r="A4290"/>
    </row>
    <row r="4291" spans="1:1" ht="15" x14ac:dyDescent="0.25">
      <c r="A4291"/>
    </row>
    <row r="4292" spans="1:1" ht="15" x14ac:dyDescent="0.25">
      <c r="A4292"/>
    </row>
    <row r="4293" spans="1:1" ht="15" x14ac:dyDescent="0.25">
      <c r="A4293"/>
    </row>
    <row r="4294" spans="1:1" ht="15" x14ac:dyDescent="0.25">
      <c r="A4294"/>
    </row>
    <row r="4295" spans="1:1" ht="15" x14ac:dyDescent="0.25">
      <c r="A4295"/>
    </row>
    <row r="4296" spans="1:1" ht="15" x14ac:dyDescent="0.25">
      <c r="A4296"/>
    </row>
    <row r="4297" spans="1:1" ht="15" x14ac:dyDescent="0.25">
      <c r="A4297"/>
    </row>
    <row r="4298" spans="1:1" ht="15" x14ac:dyDescent="0.25">
      <c r="A4298"/>
    </row>
    <row r="4299" spans="1:1" ht="15" x14ac:dyDescent="0.25">
      <c r="A4299"/>
    </row>
    <row r="4300" spans="1:1" ht="15" x14ac:dyDescent="0.25">
      <c r="A4300"/>
    </row>
    <row r="4301" spans="1:1" ht="15" x14ac:dyDescent="0.25">
      <c r="A4301"/>
    </row>
    <row r="4302" spans="1:1" ht="15" x14ac:dyDescent="0.25">
      <c r="A4302"/>
    </row>
    <row r="4303" spans="1:1" ht="15" x14ac:dyDescent="0.25">
      <c r="A4303"/>
    </row>
    <row r="4304" spans="1:1" ht="15" x14ac:dyDescent="0.25">
      <c r="A4304"/>
    </row>
    <row r="4305" spans="1:1" ht="15" x14ac:dyDescent="0.25">
      <c r="A4305"/>
    </row>
    <row r="4306" spans="1:1" ht="15" x14ac:dyDescent="0.25">
      <c r="A4306"/>
    </row>
    <row r="4307" spans="1:1" ht="15" x14ac:dyDescent="0.25">
      <c r="A4307"/>
    </row>
    <row r="4308" spans="1:1" ht="15" x14ac:dyDescent="0.25">
      <c r="A4308"/>
    </row>
    <row r="4309" spans="1:1" ht="15" x14ac:dyDescent="0.25">
      <c r="A4309"/>
    </row>
    <row r="4310" spans="1:1" ht="15" x14ac:dyDescent="0.25">
      <c r="A4310"/>
    </row>
    <row r="4311" spans="1:1" ht="15" x14ac:dyDescent="0.25">
      <c r="A4311"/>
    </row>
    <row r="4312" spans="1:1" ht="15" x14ac:dyDescent="0.25">
      <c r="A4312"/>
    </row>
    <row r="4313" spans="1:1" ht="15" x14ac:dyDescent="0.25">
      <c r="A4313"/>
    </row>
    <row r="4314" spans="1:1" ht="15" x14ac:dyDescent="0.25">
      <c r="A4314"/>
    </row>
    <row r="4315" spans="1:1" ht="15" x14ac:dyDescent="0.25">
      <c r="A4315"/>
    </row>
    <row r="4316" spans="1:1" ht="15" x14ac:dyDescent="0.25">
      <c r="A4316"/>
    </row>
    <row r="4317" spans="1:1" ht="15" x14ac:dyDescent="0.25">
      <c r="A4317"/>
    </row>
    <row r="4318" spans="1:1" ht="15" x14ac:dyDescent="0.25">
      <c r="A4318"/>
    </row>
    <row r="4319" spans="1:1" ht="15" x14ac:dyDescent="0.25">
      <c r="A4319"/>
    </row>
    <row r="4320" spans="1:1" ht="15" x14ac:dyDescent="0.25">
      <c r="A4320"/>
    </row>
    <row r="4321" spans="1:1" ht="15" x14ac:dyDescent="0.25">
      <c r="A4321"/>
    </row>
    <row r="4322" spans="1:1" ht="15" x14ac:dyDescent="0.25">
      <c r="A4322"/>
    </row>
    <row r="4323" spans="1:1" ht="15" x14ac:dyDescent="0.25">
      <c r="A4323"/>
    </row>
    <row r="4324" spans="1:1" ht="15" x14ac:dyDescent="0.25">
      <c r="A4324"/>
    </row>
    <row r="4325" spans="1:1" ht="15" x14ac:dyDescent="0.25">
      <c r="A4325"/>
    </row>
    <row r="4326" spans="1:1" ht="15" x14ac:dyDescent="0.25">
      <c r="A4326"/>
    </row>
    <row r="4327" spans="1:1" ht="15" x14ac:dyDescent="0.25">
      <c r="A4327"/>
    </row>
    <row r="4328" spans="1:1" ht="15" x14ac:dyDescent="0.25">
      <c r="A4328"/>
    </row>
    <row r="4329" spans="1:1" ht="15" x14ac:dyDescent="0.25">
      <c r="A4329"/>
    </row>
    <row r="4330" spans="1:1" ht="15" x14ac:dyDescent="0.25">
      <c r="A4330"/>
    </row>
    <row r="4331" spans="1:1" ht="15" x14ac:dyDescent="0.25">
      <c r="A4331"/>
    </row>
    <row r="4332" spans="1:1" ht="15" x14ac:dyDescent="0.25">
      <c r="A4332"/>
    </row>
    <row r="4333" spans="1:1" ht="15" x14ac:dyDescent="0.25">
      <c r="A4333"/>
    </row>
    <row r="4334" spans="1:1" ht="15" x14ac:dyDescent="0.25">
      <c r="A4334"/>
    </row>
    <row r="4335" spans="1:1" ht="15" x14ac:dyDescent="0.25">
      <c r="A4335"/>
    </row>
    <row r="4336" spans="1:1" ht="15" x14ac:dyDescent="0.25">
      <c r="A4336"/>
    </row>
    <row r="4337" spans="1:1" ht="15" x14ac:dyDescent="0.25">
      <c r="A4337"/>
    </row>
    <row r="4338" spans="1:1" ht="15" x14ac:dyDescent="0.25">
      <c r="A4338"/>
    </row>
    <row r="4339" spans="1:1" ht="15" x14ac:dyDescent="0.25">
      <c r="A4339"/>
    </row>
    <row r="4340" spans="1:1" ht="15" x14ac:dyDescent="0.25">
      <c r="A4340"/>
    </row>
    <row r="4341" spans="1:1" ht="15" x14ac:dyDescent="0.25">
      <c r="A4341"/>
    </row>
    <row r="4342" spans="1:1" ht="15" x14ac:dyDescent="0.25">
      <c r="A4342"/>
    </row>
    <row r="4343" spans="1:1" ht="15" x14ac:dyDescent="0.25">
      <c r="A4343"/>
    </row>
    <row r="4344" spans="1:1" ht="15" x14ac:dyDescent="0.25">
      <c r="A4344"/>
    </row>
    <row r="4345" spans="1:1" ht="15" x14ac:dyDescent="0.25">
      <c r="A4345"/>
    </row>
    <row r="4346" spans="1:1" ht="15" x14ac:dyDescent="0.25">
      <c r="A4346"/>
    </row>
    <row r="4347" spans="1:1" ht="15" x14ac:dyDescent="0.25">
      <c r="A4347"/>
    </row>
    <row r="4348" spans="1:1" ht="15" x14ac:dyDescent="0.25">
      <c r="A4348"/>
    </row>
    <row r="4349" spans="1:1" ht="15" x14ac:dyDescent="0.25">
      <c r="A4349"/>
    </row>
    <row r="4350" spans="1:1" ht="15" x14ac:dyDescent="0.25">
      <c r="A4350"/>
    </row>
    <row r="4351" spans="1:1" ht="15" x14ac:dyDescent="0.25">
      <c r="A4351"/>
    </row>
    <row r="4352" spans="1:1" ht="15" x14ac:dyDescent="0.25">
      <c r="A4352"/>
    </row>
    <row r="4353" spans="1:1" ht="15" x14ac:dyDescent="0.25">
      <c r="A4353"/>
    </row>
    <row r="4354" spans="1:1" ht="15" x14ac:dyDescent="0.25">
      <c r="A4354"/>
    </row>
    <row r="4355" spans="1:1" ht="15" x14ac:dyDescent="0.25">
      <c r="A4355"/>
    </row>
    <row r="4356" spans="1:1" ht="15" x14ac:dyDescent="0.25">
      <c r="A4356"/>
    </row>
    <row r="4357" spans="1:1" ht="15" x14ac:dyDescent="0.25">
      <c r="A4357"/>
    </row>
    <row r="4358" spans="1:1" ht="15" x14ac:dyDescent="0.25">
      <c r="A4358"/>
    </row>
    <row r="4359" spans="1:1" ht="15" x14ac:dyDescent="0.25">
      <c r="A4359"/>
    </row>
    <row r="4360" spans="1:1" ht="15" x14ac:dyDescent="0.25">
      <c r="A4360"/>
    </row>
    <row r="4361" spans="1:1" ht="15" x14ac:dyDescent="0.25">
      <c r="A4361"/>
    </row>
    <row r="4362" spans="1:1" ht="15" x14ac:dyDescent="0.25">
      <c r="A4362"/>
    </row>
    <row r="4363" spans="1:1" ht="15" x14ac:dyDescent="0.25">
      <c r="A4363"/>
    </row>
    <row r="4364" spans="1:1" ht="15" x14ac:dyDescent="0.25">
      <c r="A4364"/>
    </row>
    <row r="4365" spans="1:1" ht="15" x14ac:dyDescent="0.25">
      <c r="A4365"/>
    </row>
    <row r="4366" spans="1:1" ht="15" x14ac:dyDescent="0.25">
      <c r="A4366"/>
    </row>
    <row r="4367" spans="1:1" ht="15" x14ac:dyDescent="0.25">
      <c r="A4367"/>
    </row>
    <row r="4368" spans="1:1" ht="15" x14ac:dyDescent="0.25">
      <c r="A4368"/>
    </row>
    <row r="4369" spans="1:1" ht="15" x14ac:dyDescent="0.25">
      <c r="A4369"/>
    </row>
    <row r="4370" spans="1:1" ht="15" x14ac:dyDescent="0.25">
      <c r="A4370"/>
    </row>
    <row r="4371" spans="1:1" ht="15" x14ac:dyDescent="0.25">
      <c r="A4371"/>
    </row>
    <row r="4372" spans="1:1" ht="15" x14ac:dyDescent="0.25">
      <c r="A4372"/>
    </row>
    <row r="4373" spans="1:1" ht="15" x14ac:dyDescent="0.25">
      <c r="A4373"/>
    </row>
    <row r="4374" spans="1:1" ht="15" x14ac:dyDescent="0.25">
      <c r="A4374"/>
    </row>
    <row r="4375" spans="1:1" ht="15" x14ac:dyDescent="0.25">
      <c r="A4375"/>
    </row>
    <row r="4376" spans="1:1" ht="15" x14ac:dyDescent="0.25">
      <c r="A4376"/>
    </row>
    <row r="4377" spans="1:1" ht="15" x14ac:dyDescent="0.25">
      <c r="A4377"/>
    </row>
    <row r="4378" spans="1:1" ht="15" x14ac:dyDescent="0.25">
      <c r="A4378"/>
    </row>
    <row r="4379" spans="1:1" ht="15" x14ac:dyDescent="0.25">
      <c r="A4379"/>
    </row>
    <row r="4380" spans="1:1" ht="15" x14ac:dyDescent="0.25">
      <c r="A4380"/>
    </row>
    <row r="4381" spans="1:1" ht="15" x14ac:dyDescent="0.25">
      <c r="A4381"/>
    </row>
    <row r="4382" spans="1:1" ht="15" x14ac:dyDescent="0.25">
      <c r="A4382"/>
    </row>
    <row r="4383" spans="1:1" ht="15" x14ac:dyDescent="0.25">
      <c r="A4383"/>
    </row>
    <row r="4384" spans="1:1" ht="15" x14ac:dyDescent="0.25">
      <c r="A4384"/>
    </row>
    <row r="4385" spans="1:1" ht="15" x14ac:dyDescent="0.25">
      <c r="A4385"/>
    </row>
    <row r="4386" spans="1:1" ht="15" x14ac:dyDescent="0.25">
      <c r="A4386"/>
    </row>
    <row r="4387" spans="1:1" ht="15" x14ac:dyDescent="0.25">
      <c r="A4387"/>
    </row>
    <row r="4388" spans="1:1" ht="15" x14ac:dyDescent="0.25">
      <c r="A4388"/>
    </row>
    <row r="4389" spans="1:1" ht="15" x14ac:dyDescent="0.25">
      <c r="A4389"/>
    </row>
    <row r="4390" spans="1:1" ht="15" x14ac:dyDescent="0.25">
      <c r="A4390"/>
    </row>
    <row r="4391" spans="1:1" ht="15" x14ac:dyDescent="0.25">
      <c r="A4391"/>
    </row>
    <row r="4392" spans="1:1" ht="15" x14ac:dyDescent="0.25">
      <c r="A4392"/>
    </row>
    <row r="4393" spans="1:1" ht="15" x14ac:dyDescent="0.25">
      <c r="A4393"/>
    </row>
    <row r="4394" spans="1:1" ht="15" x14ac:dyDescent="0.25">
      <c r="A4394"/>
    </row>
    <row r="4395" spans="1:1" ht="15" x14ac:dyDescent="0.25">
      <c r="A4395"/>
    </row>
    <row r="4396" spans="1:1" ht="15" x14ac:dyDescent="0.25">
      <c r="A4396"/>
    </row>
    <row r="4397" spans="1:1" ht="15" x14ac:dyDescent="0.25">
      <c r="A4397"/>
    </row>
    <row r="4398" spans="1:1" ht="15" x14ac:dyDescent="0.25">
      <c r="A4398"/>
    </row>
    <row r="4399" spans="1:1" ht="15" x14ac:dyDescent="0.25">
      <c r="A4399"/>
    </row>
    <row r="4400" spans="1:1" ht="15" x14ac:dyDescent="0.25">
      <c r="A4400"/>
    </row>
    <row r="4401" spans="1:1" ht="15" x14ac:dyDescent="0.25">
      <c r="A4401"/>
    </row>
    <row r="4402" spans="1:1" ht="15" x14ac:dyDescent="0.25">
      <c r="A4402"/>
    </row>
    <row r="4403" spans="1:1" ht="15" x14ac:dyDescent="0.25">
      <c r="A4403"/>
    </row>
    <row r="4404" spans="1:1" ht="15" x14ac:dyDescent="0.25">
      <c r="A4404"/>
    </row>
    <row r="4405" spans="1:1" ht="15" x14ac:dyDescent="0.25">
      <c r="A4405"/>
    </row>
    <row r="4406" spans="1:1" ht="15" x14ac:dyDescent="0.25">
      <c r="A4406"/>
    </row>
    <row r="4407" spans="1:1" ht="15" x14ac:dyDescent="0.25">
      <c r="A4407"/>
    </row>
    <row r="4408" spans="1:1" ht="15" x14ac:dyDescent="0.25">
      <c r="A4408"/>
    </row>
    <row r="4409" spans="1:1" ht="15" x14ac:dyDescent="0.25">
      <c r="A4409"/>
    </row>
    <row r="4410" spans="1:1" ht="15" x14ac:dyDescent="0.25">
      <c r="A4410"/>
    </row>
    <row r="4411" spans="1:1" ht="15" x14ac:dyDescent="0.25">
      <c r="A4411"/>
    </row>
    <row r="4412" spans="1:1" ht="15" x14ac:dyDescent="0.25">
      <c r="A4412"/>
    </row>
    <row r="4413" spans="1:1" ht="15" x14ac:dyDescent="0.25">
      <c r="A4413"/>
    </row>
    <row r="4414" spans="1:1" ht="15" x14ac:dyDescent="0.25">
      <c r="A4414"/>
    </row>
    <row r="4415" spans="1:1" ht="15" x14ac:dyDescent="0.25">
      <c r="A4415"/>
    </row>
    <row r="4416" spans="1:1" ht="15" x14ac:dyDescent="0.25">
      <c r="A4416"/>
    </row>
    <row r="4417" spans="1:1" ht="15" x14ac:dyDescent="0.25">
      <c r="A4417"/>
    </row>
    <row r="4418" spans="1:1" ht="15" x14ac:dyDescent="0.25">
      <c r="A4418"/>
    </row>
    <row r="4419" spans="1:1" ht="15" x14ac:dyDescent="0.25">
      <c r="A4419"/>
    </row>
    <row r="4420" spans="1:1" ht="15" x14ac:dyDescent="0.25">
      <c r="A4420"/>
    </row>
    <row r="4421" spans="1:1" ht="15" x14ac:dyDescent="0.25">
      <c r="A4421"/>
    </row>
    <row r="4422" spans="1:1" ht="15" x14ac:dyDescent="0.25">
      <c r="A4422"/>
    </row>
    <row r="4423" spans="1:1" ht="15" x14ac:dyDescent="0.25">
      <c r="A4423"/>
    </row>
    <row r="4424" spans="1:1" ht="15" x14ac:dyDescent="0.25">
      <c r="A4424"/>
    </row>
    <row r="4425" spans="1:1" ht="15" x14ac:dyDescent="0.25">
      <c r="A4425"/>
    </row>
    <row r="4426" spans="1:1" ht="15" x14ac:dyDescent="0.25">
      <c r="A4426"/>
    </row>
    <row r="4427" spans="1:1" ht="15" x14ac:dyDescent="0.25">
      <c r="A4427"/>
    </row>
    <row r="4428" spans="1:1" ht="15" x14ac:dyDescent="0.25">
      <c r="A4428"/>
    </row>
    <row r="4429" spans="1:1" ht="15" x14ac:dyDescent="0.25">
      <c r="A4429"/>
    </row>
    <row r="4430" spans="1:1" ht="15" x14ac:dyDescent="0.25">
      <c r="A4430"/>
    </row>
    <row r="4431" spans="1:1" ht="15" x14ac:dyDescent="0.25">
      <c r="A4431"/>
    </row>
    <row r="4432" spans="1:1" ht="15" x14ac:dyDescent="0.25">
      <c r="A4432"/>
    </row>
    <row r="4433" spans="1:1" ht="15" x14ac:dyDescent="0.25">
      <c r="A4433"/>
    </row>
    <row r="4434" spans="1:1" ht="15" x14ac:dyDescent="0.25">
      <c r="A4434"/>
    </row>
    <row r="4435" spans="1:1" ht="15" x14ac:dyDescent="0.25">
      <c r="A4435"/>
    </row>
    <row r="4436" spans="1:1" ht="15" x14ac:dyDescent="0.25">
      <c r="A4436"/>
    </row>
    <row r="4437" spans="1:1" ht="15" x14ac:dyDescent="0.25">
      <c r="A4437"/>
    </row>
    <row r="4438" spans="1:1" ht="15" x14ac:dyDescent="0.25">
      <c r="A4438"/>
    </row>
    <row r="4439" spans="1:1" ht="15" x14ac:dyDescent="0.25">
      <c r="A4439"/>
    </row>
    <row r="4440" spans="1:1" ht="15" x14ac:dyDescent="0.25">
      <c r="A4440"/>
    </row>
    <row r="4441" spans="1:1" ht="15" x14ac:dyDescent="0.25">
      <c r="A4441"/>
    </row>
    <row r="4442" spans="1:1" ht="15" x14ac:dyDescent="0.25">
      <c r="A4442"/>
    </row>
    <row r="4443" spans="1:1" ht="15" x14ac:dyDescent="0.25">
      <c r="A4443"/>
    </row>
    <row r="4444" spans="1:1" ht="15" x14ac:dyDescent="0.25">
      <c r="A4444"/>
    </row>
    <row r="4445" spans="1:1" ht="15" x14ac:dyDescent="0.25">
      <c r="A4445"/>
    </row>
    <row r="4446" spans="1:1" ht="15" x14ac:dyDescent="0.25">
      <c r="A4446"/>
    </row>
    <row r="4447" spans="1:1" ht="15" x14ac:dyDescent="0.25">
      <c r="A4447"/>
    </row>
    <row r="4448" spans="1:1" ht="15" x14ac:dyDescent="0.25">
      <c r="A4448"/>
    </row>
    <row r="4449" spans="1:1" ht="15" x14ac:dyDescent="0.25">
      <c r="A4449"/>
    </row>
    <row r="4450" spans="1:1" ht="15" x14ac:dyDescent="0.25">
      <c r="A4450"/>
    </row>
    <row r="4451" spans="1:1" ht="15" x14ac:dyDescent="0.25">
      <c r="A4451"/>
    </row>
    <row r="4452" spans="1:1" ht="15" x14ac:dyDescent="0.25">
      <c r="A4452"/>
    </row>
    <row r="4453" spans="1:1" ht="15" x14ac:dyDescent="0.25">
      <c r="A4453"/>
    </row>
    <row r="4454" spans="1:1" ht="15" x14ac:dyDescent="0.25">
      <c r="A4454"/>
    </row>
    <row r="4455" spans="1:1" ht="15" x14ac:dyDescent="0.25">
      <c r="A4455"/>
    </row>
    <row r="4456" spans="1:1" ht="15" x14ac:dyDescent="0.25">
      <c r="A4456"/>
    </row>
    <row r="4457" spans="1:1" ht="15" x14ac:dyDescent="0.25">
      <c r="A4457"/>
    </row>
    <row r="4458" spans="1:1" ht="15" x14ac:dyDescent="0.25">
      <c r="A4458"/>
    </row>
    <row r="4459" spans="1:1" ht="15" x14ac:dyDescent="0.25">
      <c r="A4459"/>
    </row>
    <row r="4460" spans="1:1" ht="15" x14ac:dyDescent="0.25">
      <c r="A4460"/>
    </row>
    <row r="4461" spans="1:1" ht="15" x14ac:dyDescent="0.25">
      <c r="A4461"/>
    </row>
    <row r="4462" spans="1:1" ht="15" x14ac:dyDescent="0.25">
      <c r="A4462"/>
    </row>
    <row r="4463" spans="1:1" ht="15" x14ac:dyDescent="0.25">
      <c r="A4463"/>
    </row>
    <row r="4464" spans="1:1" ht="15" x14ac:dyDescent="0.25">
      <c r="A4464"/>
    </row>
    <row r="4465" spans="1:1" ht="15" x14ac:dyDescent="0.25">
      <c r="A4465"/>
    </row>
    <row r="4466" spans="1:1" ht="15" x14ac:dyDescent="0.25">
      <c r="A4466"/>
    </row>
    <row r="4467" spans="1:1" ht="15" x14ac:dyDescent="0.25">
      <c r="A4467"/>
    </row>
    <row r="4468" spans="1:1" ht="15" x14ac:dyDescent="0.25">
      <c r="A4468"/>
    </row>
    <row r="4469" spans="1:1" ht="15" x14ac:dyDescent="0.25">
      <c r="A4469"/>
    </row>
    <row r="4470" spans="1:1" ht="15" x14ac:dyDescent="0.25">
      <c r="A4470"/>
    </row>
    <row r="4471" spans="1:1" ht="15" x14ac:dyDescent="0.25">
      <c r="A4471"/>
    </row>
    <row r="4472" spans="1:1" ht="15" x14ac:dyDescent="0.25">
      <c r="A4472"/>
    </row>
    <row r="4473" spans="1:1" ht="15" x14ac:dyDescent="0.25">
      <c r="A4473"/>
    </row>
    <row r="4474" spans="1:1" ht="15" x14ac:dyDescent="0.25">
      <c r="A4474"/>
    </row>
    <row r="4475" spans="1:1" ht="15" x14ac:dyDescent="0.25">
      <c r="A4475"/>
    </row>
    <row r="4476" spans="1:1" ht="15" x14ac:dyDescent="0.25">
      <c r="A4476"/>
    </row>
    <row r="4477" spans="1:1" ht="15" x14ac:dyDescent="0.25">
      <c r="A4477"/>
    </row>
    <row r="4478" spans="1:1" ht="15" x14ac:dyDescent="0.25">
      <c r="A4478"/>
    </row>
    <row r="4479" spans="1:1" ht="15" x14ac:dyDescent="0.25">
      <c r="A4479"/>
    </row>
    <row r="4480" spans="1:1" ht="15" x14ac:dyDescent="0.25">
      <c r="A4480"/>
    </row>
    <row r="4481" spans="1:1" ht="15" x14ac:dyDescent="0.25">
      <c r="A4481"/>
    </row>
    <row r="4482" spans="1:1" ht="15" x14ac:dyDescent="0.25">
      <c r="A4482"/>
    </row>
    <row r="4483" spans="1:1" ht="15" x14ac:dyDescent="0.25">
      <c r="A4483"/>
    </row>
    <row r="4484" spans="1:1" ht="15" x14ac:dyDescent="0.25">
      <c r="A4484"/>
    </row>
    <row r="4485" spans="1:1" ht="15" x14ac:dyDescent="0.25">
      <c r="A4485"/>
    </row>
    <row r="4486" spans="1:1" ht="15" x14ac:dyDescent="0.25">
      <c r="A4486"/>
    </row>
    <row r="4487" spans="1:1" ht="15" x14ac:dyDescent="0.25">
      <c r="A4487"/>
    </row>
    <row r="4488" spans="1:1" ht="15" x14ac:dyDescent="0.25">
      <c r="A4488"/>
    </row>
    <row r="4489" spans="1:1" ht="15" x14ac:dyDescent="0.25">
      <c r="A4489"/>
    </row>
    <row r="4490" spans="1:1" ht="15" x14ac:dyDescent="0.25">
      <c r="A4490"/>
    </row>
    <row r="4491" spans="1:1" ht="15" x14ac:dyDescent="0.25">
      <c r="A4491"/>
    </row>
    <row r="4492" spans="1:1" ht="15" x14ac:dyDescent="0.25">
      <c r="A4492"/>
    </row>
    <row r="4493" spans="1:1" ht="15" x14ac:dyDescent="0.25">
      <c r="A4493"/>
    </row>
    <row r="4494" spans="1:1" ht="15" x14ac:dyDescent="0.25">
      <c r="A4494"/>
    </row>
    <row r="4495" spans="1:1" ht="15" x14ac:dyDescent="0.25">
      <c r="A4495"/>
    </row>
    <row r="4496" spans="1:1" ht="15" x14ac:dyDescent="0.25">
      <c r="A4496"/>
    </row>
    <row r="4497" spans="1:1" ht="15" x14ac:dyDescent="0.25">
      <c r="A4497"/>
    </row>
    <row r="4498" spans="1:1" ht="15" x14ac:dyDescent="0.25">
      <c r="A4498"/>
    </row>
    <row r="4499" spans="1:1" ht="15" x14ac:dyDescent="0.25">
      <c r="A4499"/>
    </row>
    <row r="4500" spans="1:1" ht="15" x14ac:dyDescent="0.25">
      <c r="A4500"/>
    </row>
    <row r="4501" spans="1:1" ht="15" x14ac:dyDescent="0.25">
      <c r="A4501"/>
    </row>
    <row r="4502" spans="1:1" ht="15" x14ac:dyDescent="0.25">
      <c r="A4502"/>
    </row>
    <row r="4503" spans="1:1" ht="15" x14ac:dyDescent="0.25">
      <c r="A4503"/>
    </row>
    <row r="4504" spans="1:1" ht="15" x14ac:dyDescent="0.25">
      <c r="A4504"/>
    </row>
    <row r="4505" spans="1:1" ht="15" x14ac:dyDescent="0.25">
      <c r="A4505"/>
    </row>
    <row r="4506" spans="1:1" ht="15" x14ac:dyDescent="0.25">
      <c r="A4506"/>
    </row>
    <row r="4507" spans="1:1" ht="15" x14ac:dyDescent="0.25">
      <c r="A4507"/>
    </row>
    <row r="4508" spans="1:1" ht="15" x14ac:dyDescent="0.25">
      <c r="A4508"/>
    </row>
    <row r="4509" spans="1:1" ht="15" x14ac:dyDescent="0.25">
      <c r="A4509"/>
    </row>
    <row r="4510" spans="1:1" ht="15" x14ac:dyDescent="0.25">
      <c r="A4510"/>
    </row>
    <row r="4511" spans="1:1" ht="15" x14ac:dyDescent="0.25">
      <c r="A4511"/>
    </row>
    <row r="4512" spans="1:1" ht="15" x14ac:dyDescent="0.25">
      <c r="A4512"/>
    </row>
    <row r="4513" spans="1:1" ht="15" x14ac:dyDescent="0.25">
      <c r="A4513"/>
    </row>
    <row r="4514" spans="1:1" ht="15" x14ac:dyDescent="0.25">
      <c r="A4514"/>
    </row>
    <row r="4515" spans="1:1" ht="15" x14ac:dyDescent="0.25">
      <c r="A4515"/>
    </row>
    <row r="4516" spans="1:1" ht="15" x14ac:dyDescent="0.25">
      <c r="A4516"/>
    </row>
    <row r="4517" spans="1:1" ht="15" x14ac:dyDescent="0.25">
      <c r="A4517"/>
    </row>
    <row r="4518" spans="1:1" ht="15" x14ac:dyDescent="0.25">
      <c r="A4518"/>
    </row>
    <row r="4519" spans="1:1" ht="15" x14ac:dyDescent="0.25">
      <c r="A4519"/>
    </row>
    <row r="4520" spans="1:1" ht="15" x14ac:dyDescent="0.25">
      <c r="A4520"/>
    </row>
    <row r="4521" spans="1:1" ht="15" x14ac:dyDescent="0.25">
      <c r="A4521"/>
    </row>
    <row r="4522" spans="1:1" ht="15" x14ac:dyDescent="0.25">
      <c r="A4522"/>
    </row>
    <row r="4523" spans="1:1" ht="15" x14ac:dyDescent="0.25">
      <c r="A4523"/>
    </row>
    <row r="4524" spans="1:1" ht="15" x14ac:dyDescent="0.25">
      <c r="A4524"/>
    </row>
    <row r="4525" spans="1:1" ht="15" x14ac:dyDescent="0.25">
      <c r="A4525"/>
    </row>
    <row r="4526" spans="1:1" ht="15" x14ac:dyDescent="0.25">
      <c r="A4526"/>
    </row>
    <row r="4527" spans="1:1" ht="15" x14ac:dyDescent="0.25">
      <c r="A4527"/>
    </row>
    <row r="4528" spans="1:1" ht="15" x14ac:dyDescent="0.25">
      <c r="A4528"/>
    </row>
    <row r="4529" spans="1:1" ht="15" x14ac:dyDescent="0.25">
      <c r="A4529"/>
    </row>
    <row r="4530" spans="1:1" ht="15" x14ac:dyDescent="0.25">
      <c r="A4530"/>
    </row>
    <row r="4531" spans="1:1" ht="15" x14ac:dyDescent="0.25">
      <c r="A4531"/>
    </row>
    <row r="4532" spans="1:1" ht="15" x14ac:dyDescent="0.25">
      <c r="A4532"/>
    </row>
    <row r="4533" spans="1:1" ht="15" x14ac:dyDescent="0.25">
      <c r="A4533"/>
    </row>
    <row r="4534" spans="1:1" ht="15" x14ac:dyDescent="0.25">
      <c r="A4534"/>
    </row>
    <row r="4535" spans="1:1" ht="15" x14ac:dyDescent="0.25">
      <c r="A4535"/>
    </row>
    <row r="4536" spans="1:1" ht="15" x14ac:dyDescent="0.25">
      <c r="A4536"/>
    </row>
    <row r="4537" spans="1:1" ht="15" x14ac:dyDescent="0.25">
      <c r="A4537"/>
    </row>
    <row r="4538" spans="1:1" ht="15" x14ac:dyDescent="0.25">
      <c r="A4538"/>
    </row>
    <row r="4539" spans="1:1" ht="15" x14ac:dyDescent="0.25">
      <c r="A4539"/>
    </row>
    <row r="4540" spans="1:1" ht="15" x14ac:dyDescent="0.25">
      <c r="A4540"/>
    </row>
    <row r="4541" spans="1:1" ht="15" x14ac:dyDescent="0.25">
      <c r="A4541"/>
    </row>
    <row r="4542" spans="1:1" ht="15" x14ac:dyDescent="0.25">
      <c r="A4542"/>
    </row>
    <row r="4543" spans="1:1" ht="15" x14ac:dyDescent="0.25">
      <c r="A4543"/>
    </row>
    <row r="4544" spans="1:1" ht="15" x14ac:dyDescent="0.25">
      <c r="A4544"/>
    </row>
    <row r="4545" spans="1:1" ht="15" x14ac:dyDescent="0.25">
      <c r="A4545"/>
    </row>
    <row r="4546" spans="1:1" ht="15" x14ac:dyDescent="0.25">
      <c r="A4546"/>
    </row>
    <row r="4547" spans="1:1" ht="15" x14ac:dyDescent="0.25">
      <c r="A4547"/>
    </row>
    <row r="4548" spans="1:1" ht="15" x14ac:dyDescent="0.25">
      <c r="A4548"/>
    </row>
    <row r="4549" spans="1:1" ht="15" x14ac:dyDescent="0.25">
      <c r="A4549"/>
    </row>
    <row r="4550" spans="1:1" ht="15" x14ac:dyDescent="0.25">
      <c r="A4550"/>
    </row>
    <row r="4551" spans="1:1" ht="15" x14ac:dyDescent="0.25">
      <c r="A4551"/>
    </row>
    <row r="4552" spans="1:1" ht="15" x14ac:dyDescent="0.25">
      <c r="A4552"/>
    </row>
    <row r="4553" spans="1:1" ht="15" x14ac:dyDescent="0.25">
      <c r="A4553"/>
    </row>
    <row r="4554" spans="1:1" ht="15" x14ac:dyDescent="0.25">
      <c r="A4554"/>
    </row>
    <row r="4555" spans="1:1" ht="15" x14ac:dyDescent="0.25">
      <c r="A4555"/>
    </row>
    <row r="4556" spans="1:1" ht="15" x14ac:dyDescent="0.25">
      <c r="A4556"/>
    </row>
    <row r="4557" spans="1:1" ht="15" x14ac:dyDescent="0.25">
      <c r="A4557"/>
    </row>
    <row r="4558" spans="1:1" ht="15" x14ac:dyDescent="0.25">
      <c r="A4558"/>
    </row>
    <row r="4559" spans="1:1" ht="15" x14ac:dyDescent="0.25">
      <c r="A4559"/>
    </row>
    <row r="4560" spans="1:1" ht="15" x14ac:dyDescent="0.25">
      <c r="A4560"/>
    </row>
    <row r="4561" spans="1:1" ht="15" x14ac:dyDescent="0.25">
      <c r="A4561"/>
    </row>
    <row r="4562" spans="1:1" ht="15" x14ac:dyDescent="0.25">
      <c r="A4562"/>
    </row>
    <row r="4563" spans="1:1" ht="15" x14ac:dyDescent="0.25">
      <c r="A4563"/>
    </row>
    <row r="4564" spans="1:1" ht="15" x14ac:dyDescent="0.25">
      <c r="A4564"/>
    </row>
    <row r="4565" spans="1:1" ht="15" x14ac:dyDescent="0.25">
      <c r="A4565"/>
    </row>
    <row r="4566" spans="1:1" ht="15" x14ac:dyDescent="0.25">
      <c r="A4566"/>
    </row>
    <row r="4567" spans="1:1" ht="15" x14ac:dyDescent="0.25">
      <c r="A4567"/>
    </row>
    <row r="4568" spans="1:1" ht="15" x14ac:dyDescent="0.25">
      <c r="A4568"/>
    </row>
    <row r="4569" spans="1:1" ht="15" x14ac:dyDescent="0.25">
      <c r="A4569"/>
    </row>
    <row r="4570" spans="1:1" ht="15" x14ac:dyDescent="0.25">
      <c r="A4570"/>
    </row>
    <row r="4571" spans="1:1" ht="15" x14ac:dyDescent="0.25">
      <c r="A4571"/>
    </row>
    <row r="4572" spans="1:1" ht="15" x14ac:dyDescent="0.25">
      <c r="A4572"/>
    </row>
    <row r="4573" spans="1:1" ht="15" x14ac:dyDescent="0.25">
      <c r="A4573"/>
    </row>
    <row r="4574" spans="1:1" ht="15" x14ac:dyDescent="0.25">
      <c r="A4574"/>
    </row>
    <row r="4575" spans="1:1" ht="15" x14ac:dyDescent="0.25">
      <c r="A4575"/>
    </row>
    <row r="4576" spans="1:1" ht="15" x14ac:dyDescent="0.25">
      <c r="A4576"/>
    </row>
    <row r="4577" spans="1:1" ht="15" x14ac:dyDescent="0.25">
      <c r="A4577"/>
    </row>
    <row r="4578" spans="1:1" ht="15" x14ac:dyDescent="0.25">
      <c r="A4578"/>
    </row>
    <row r="4579" spans="1:1" ht="15" x14ac:dyDescent="0.25">
      <c r="A4579"/>
    </row>
    <row r="4580" spans="1:1" ht="15" x14ac:dyDescent="0.25">
      <c r="A4580"/>
    </row>
    <row r="4581" spans="1:1" ht="15" x14ac:dyDescent="0.25">
      <c r="A4581"/>
    </row>
    <row r="4582" spans="1:1" ht="15" x14ac:dyDescent="0.25">
      <c r="A4582"/>
    </row>
    <row r="4583" spans="1:1" ht="15" x14ac:dyDescent="0.25">
      <c r="A4583"/>
    </row>
    <row r="4584" spans="1:1" ht="15" x14ac:dyDescent="0.25">
      <c r="A4584"/>
    </row>
    <row r="4585" spans="1:1" ht="15" x14ac:dyDescent="0.25">
      <c r="A4585"/>
    </row>
    <row r="4586" spans="1:1" ht="15" x14ac:dyDescent="0.25">
      <c r="A4586"/>
    </row>
    <row r="4587" spans="1:1" ht="15" x14ac:dyDescent="0.25">
      <c r="A4587"/>
    </row>
    <row r="4588" spans="1:1" ht="15" x14ac:dyDescent="0.25">
      <c r="A4588"/>
    </row>
    <row r="4589" spans="1:1" ht="15" x14ac:dyDescent="0.25">
      <c r="A4589"/>
    </row>
    <row r="4590" spans="1:1" ht="15" x14ac:dyDescent="0.25">
      <c r="A4590"/>
    </row>
    <row r="4591" spans="1:1" ht="15" x14ac:dyDescent="0.25">
      <c r="A4591"/>
    </row>
    <row r="4592" spans="1:1" ht="15" x14ac:dyDescent="0.25">
      <c r="A4592"/>
    </row>
    <row r="4593" spans="1:1" ht="15" x14ac:dyDescent="0.25">
      <c r="A4593"/>
    </row>
    <row r="4594" spans="1:1" ht="15" x14ac:dyDescent="0.25">
      <c r="A4594"/>
    </row>
    <row r="4595" spans="1:1" ht="15" x14ac:dyDescent="0.25">
      <c r="A4595"/>
    </row>
    <row r="4596" spans="1:1" ht="15" x14ac:dyDescent="0.25">
      <c r="A4596"/>
    </row>
    <row r="4597" spans="1:1" ht="15" x14ac:dyDescent="0.25">
      <c r="A4597"/>
    </row>
    <row r="4598" spans="1:1" ht="15" x14ac:dyDescent="0.25">
      <c r="A4598"/>
    </row>
    <row r="4599" spans="1:1" ht="15" x14ac:dyDescent="0.25">
      <c r="A4599"/>
    </row>
    <row r="4600" spans="1:1" ht="15" x14ac:dyDescent="0.25">
      <c r="A4600"/>
    </row>
    <row r="4601" spans="1:1" ht="15" x14ac:dyDescent="0.25">
      <c r="A4601"/>
    </row>
    <row r="4602" spans="1:1" ht="15" x14ac:dyDescent="0.25">
      <c r="A4602"/>
    </row>
    <row r="4603" spans="1:1" ht="15" x14ac:dyDescent="0.25">
      <c r="A4603"/>
    </row>
    <row r="4604" spans="1:1" ht="15" x14ac:dyDescent="0.25">
      <c r="A4604"/>
    </row>
    <row r="4605" spans="1:1" ht="15" x14ac:dyDescent="0.25">
      <c r="A4605"/>
    </row>
    <row r="4606" spans="1:1" ht="15" x14ac:dyDescent="0.25">
      <c r="A4606"/>
    </row>
    <row r="4607" spans="1:1" ht="15" x14ac:dyDescent="0.25">
      <c r="A4607"/>
    </row>
    <row r="4608" spans="1:1" ht="15" x14ac:dyDescent="0.25">
      <c r="A4608"/>
    </row>
    <row r="4609" spans="1:1" ht="15" x14ac:dyDescent="0.25">
      <c r="A4609"/>
    </row>
    <row r="4610" spans="1:1" ht="15" x14ac:dyDescent="0.25">
      <c r="A4610"/>
    </row>
    <row r="4611" spans="1:1" ht="15" x14ac:dyDescent="0.25">
      <c r="A4611"/>
    </row>
    <row r="4612" spans="1:1" ht="15" x14ac:dyDescent="0.25">
      <c r="A4612"/>
    </row>
    <row r="4613" spans="1:1" ht="15" x14ac:dyDescent="0.25">
      <c r="A4613"/>
    </row>
    <row r="4614" spans="1:1" ht="15" x14ac:dyDescent="0.25">
      <c r="A4614"/>
    </row>
    <row r="4615" spans="1:1" ht="15" x14ac:dyDescent="0.25">
      <c r="A4615"/>
    </row>
    <row r="4616" spans="1:1" ht="15" x14ac:dyDescent="0.25">
      <c r="A4616"/>
    </row>
    <row r="4617" spans="1:1" ht="15" x14ac:dyDescent="0.25">
      <c r="A4617"/>
    </row>
    <row r="4618" spans="1:1" ht="15" x14ac:dyDescent="0.25">
      <c r="A4618"/>
    </row>
    <row r="4619" spans="1:1" ht="15" x14ac:dyDescent="0.25">
      <c r="A4619"/>
    </row>
    <row r="4620" spans="1:1" ht="15" x14ac:dyDescent="0.25">
      <c r="A4620"/>
    </row>
    <row r="4621" spans="1:1" ht="15" x14ac:dyDescent="0.25">
      <c r="A4621"/>
    </row>
    <row r="4622" spans="1:1" ht="15" x14ac:dyDescent="0.25">
      <c r="A4622"/>
    </row>
    <row r="4623" spans="1:1" ht="15" x14ac:dyDescent="0.25">
      <c r="A4623"/>
    </row>
    <row r="4624" spans="1:1" ht="15" x14ac:dyDescent="0.25">
      <c r="A4624"/>
    </row>
    <row r="4625" spans="1:1" ht="15" x14ac:dyDescent="0.25">
      <c r="A4625"/>
    </row>
    <row r="4626" spans="1:1" ht="15" x14ac:dyDescent="0.25">
      <c r="A4626"/>
    </row>
    <row r="4627" spans="1:1" ht="15" x14ac:dyDescent="0.25">
      <c r="A4627"/>
    </row>
    <row r="4628" spans="1:1" ht="15" x14ac:dyDescent="0.25">
      <c r="A4628"/>
    </row>
    <row r="4629" spans="1:1" ht="15" x14ac:dyDescent="0.25">
      <c r="A4629"/>
    </row>
    <row r="4630" spans="1:1" ht="15" x14ac:dyDescent="0.25">
      <c r="A4630"/>
    </row>
    <row r="4631" spans="1:1" ht="15" x14ac:dyDescent="0.25">
      <c r="A4631"/>
    </row>
    <row r="4632" spans="1:1" ht="15" x14ac:dyDescent="0.25">
      <c r="A4632"/>
    </row>
    <row r="4633" spans="1:1" ht="15" x14ac:dyDescent="0.25">
      <c r="A4633"/>
    </row>
    <row r="4634" spans="1:1" ht="15" x14ac:dyDescent="0.25">
      <c r="A4634"/>
    </row>
    <row r="4635" spans="1:1" ht="15" x14ac:dyDescent="0.25">
      <c r="A4635"/>
    </row>
    <row r="4636" spans="1:1" ht="15" x14ac:dyDescent="0.25">
      <c r="A4636"/>
    </row>
    <row r="4637" spans="1:1" ht="15" x14ac:dyDescent="0.25">
      <c r="A4637"/>
    </row>
    <row r="4638" spans="1:1" ht="15" x14ac:dyDescent="0.25">
      <c r="A4638"/>
    </row>
    <row r="4639" spans="1:1" ht="15" x14ac:dyDescent="0.25">
      <c r="A4639"/>
    </row>
    <row r="4640" spans="1:1" ht="15" x14ac:dyDescent="0.25">
      <c r="A4640"/>
    </row>
    <row r="4641" spans="1:1" ht="15" x14ac:dyDescent="0.25">
      <c r="A4641"/>
    </row>
    <row r="4642" spans="1:1" ht="15" x14ac:dyDescent="0.25">
      <c r="A4642"/>
    </row>
    <row r="4643" spans="1:1" ht="15" x14ac:dyDescent="0.25">
      <c r="A4643"/>
    </row>
    <row r="4644" spans="1:1" ht="15" x14ac:dyDescent="0.25">
      <c r="A4644"/>
    </row>
    <row r="4645" spans="1:1" ht="15" x14ac:dyDescent="0.25">
      <c r="A4645"/>
    </row>
    <row r="4646" spans="1:1" ht="15" x14ac:dyDescent="0.25">
      <c r="A4646"/>
    </row>
    <row r="4647" spans="1:1" ht="15" x14ac:dyDescent="0.25">
      <c r="A4647"/>
    </row>
    <row r="4648" spans="1:1" ht="15" x14ac:dyDescent="0.25">
      <c r="A4648"/>
    </row>
    <row r="4649" spans="1:1" ht="15" x14ac:dyDescent="0.25">
      <c r="A4649"/>
    </row>
    <row r="4650" spans="1:1" ht="15" x14ac:dyDescent="0.25">
      <c r="A4650"/>
    </row>
    <row r="4651" spans="1:1" ht="15" x14ac:dyDescent="0.25">
      <c r="A4651"/>
    </row>
    <row r="4652" spans="1:1" ht="15" x14ac:dyDescent="0.25">
      <c r="A4652"/>
    </row>
    <row r="4653" spans="1:1" ht="15" x14ac:dyDescent="0.25">
      <c r="A4653"/>
    </row>
    <row r="4654" spans="1:1" ht="15" x14ac:dyDescent="0.25">
      <c r="A4654"/>
    </row>
    <row r="4655" spans="1:1" ht="15" x14ac:dyDescent="0.25">
      <c r="A4655"/>
    </row>
    <row r="4656" spans="1:1" ht="15" x14ac:dyDescent="0.25">
      <c r="A4656"/>
    </row>
    <row r="4657" spans="1:1" ht="15" x14ac:dyDescent="0.25">
      <c r="A4657"/>
    </row>
    <row r="4658" spans="1:1" ht="15" x14ac:dyDescent="0.25">
      <c r="A4658"/>
    </row>
    <row r="4659" spans="1:1" ht="15" x14ac:dyDescent="0.25">
      <c r="A4659"/>
    </row>
    <row r="4660" spans="1:1" ht="15" x14ac:dyDescent="0.25">
      <c r="A4660"/>
    </row>
    <row r="4661" spans="1:1" ht="15" x14ac:dyDescent="0.25">
      <c r="A4661"/>
    </row>
    <row r="4662" spans="1:1" ht="15" x14ac:dyDescent="0.25">
      <c r="A4662"/>
    </row>
    <row r="4663" spans="1:1" ht="15" x14ac:dyDescent="0.25">
      <c r="A4663"/>
    </row>
    <row r="4664" spans="1:1" ht="15" x14ac:dyDescent="0.25">
      <c r="A4664"/>
    </row>
    <row r="4665" spans="1:1" ht="15" x14ac:dyDescent="0.25">
      <c r="A4665"/>
    </row>
    <row r="4666" spans="1:1" ht="15" x14ac:dyDescent="0.25">
      <c r="A4666"/>
    </row>
    <row r="4667" spans="1:1" ht="15" x14ac:dyDescent="0.25">
      <c r="A4667"/>
    </row>
    <row r="4668" spans="1:1" ht="15" x14ac:dyDescent="0.25">
      <c r="A4668"/>
    </row>
    <row r="4669" spans="1:1" ht="15" x14ac:dyDescent="0.25">
      <c r="A4669"/>
    </row>
    <row r="4670" spans="1:1" ht="15" x14ac:dyDescent="0.25">
      <c r="A4670"/>
    </row>
    <row r="4671" spans="1:1" ht="15" x14ac:dyDescent="0.25">
      <c r="A4671"/>
    </row>
    <row r="4672" spans="1:1" ht="15" x14ac:dyDescent="0.25">
      <c r="A4672"/>
    </row>
    <row r="4673" spans="1:1" ht="15" x14ac:dyDescent="0.25">
      <c r="A4673"/>
    </row>
    <row r="4674" spans="1:1" ht="15" x14ac:dyDescent="0.25">
      <c r="A4674"/>
    </row>
    <row r="4675" spans="1:1" ht="15" x14ac:dyDescent="0.25">
      <c r="A4675"/>
    </row>
    <row r="4676" spans="1:1" ht="15" x14ac:dyDescent="0.25">
      <c r="A4676"/>
    </row>
    <row r="4677" spans="1:1" ht="15" x14ac:dyDescent="0.25">
      <c r="A4677"/>
    </row>
    <row r="4678" spans="1:1" ht="15" x14ac:dyDescent="0.25">
      <c r="A4678"/>
    </row>
    <row r="4679" spans="1:1" ht="15" x14ac:dyDescent="0.25">
      <c r="A4679"/>
    </row>
    <row r="4680" spans="1:1" ht="15" x14ac:dyDescent="0.25">
      <c r="A4680"/>
    </row>
    <row r="4681" spans="1:1" ht="15" x14ac:dyDescent="0.25">
      <c r="A4681"/>
    </row>
    <row r="4682" spans="1:1" ht="15" x14ac:dyDescent="0.25">
      <c r="A4682"/>
    </row>
    <row r="4683" spans="1:1" ht="15" x14ac:dyDescent="0.25">
      <c r="A4683"/>
    </row>
    <row r="4684" spans="1:1" ht="15" x14ac:dyDescent="0.25">
      <c r="A4684"/>
    </row>
    <row r="4685" spans="1:1" ht="15" x14ac:dyDescent="0.25">
      <c r="A4685"/>
    </row>
    <row r="4686" spans="1:1" ht="15" x14ac:dyDescent="0.25">
      <c r="A4686"/>
    </row>
    <row r="4687" spans="1:1" ht="15" x14ac:dyDescent="0.25">
      <c r="A4687"/>
    </row>
    <row r="4688" spans="1:1" ht="15" x14ac:dyDescent="0.25">
      <c r="A4688"/>
    </row>
    <row r="4689" spans="1:1" ht="15" x14ac:dyDescent="0.25">
      <c r="A4689"/>
    </row>
    <row r="4690" spans="1:1" ht="15" x14ac:dyDescent="0.25">
      <c r="A4690"/>
    </row>
    <row r="4691" spans="1:1" ht="15" x14ac:dyDescent="0.25">
      <c r="A4691"/>
    </row>
    <row r="4692" spans="1:1" ht="15" x14ac:dyDescent="0.25">
      <c r="A4692"/>
    </row>
    <row r="4693" spans="1:1" ht="15" x14ac:dyDescent="0.25">
      <c r="A4693"/>
    </row>
    <row r="4694" spans="1:1" ht="15" x14ac:dyDescent="0.25">
      <c r="A4694"/>
    </row>
    <row r="4695" spans="1:1" ht="15" x14ac:dyDescent="0.25">
      <c r="A4695"/>
    </row>
    <row r="4696" spans="1:1" ht="15" x14ac:dyDescent="0.25">
      <c r="A4696"/>
    </row>
    <row r="4697" spans="1:1" ht="15" x14ac:dyDescent="0.25">
      <c r="A4697"/>
    </row>
    <row r="4698" spans="1:1" ht="15" x14ac:dyDescent="0.25">
      <c r="A4698"/>
    </row>
    <row r="4699" spans="1:1" ht="15" x14ac:dyDescent="0.25">
      <c r="A4699"/>
    </row>
    <row r="4700" spans="1:1" ht="15" x14ac:dyDescent="0.25">
      <c r="A4700"/>
    </row>
    <row r="4701" spans="1:1" ht="15" x14ac:dyDescent="0.25">
      <c r="A4701"/>
    </row>
    <row r="4702" spans="1:1" ht="15" x14ac:dyDescent="0.25">
      <c r="A4702"/>
    </row>
    <row r="4703" spans="1:1" ht="15" x14ac:dyDescent="0.25">
      <c r="A4703"/>
    </row>
    <row r="4704" spans="1:1" ht="15" x14ac:dyDescent="0.25">
      <c r="A4704"/>
    </row>
    <row r="4705" spans="1:1" ht="15" x14ac:dyDescent="0.25">
      <c r="A4705"/>
    </row>
    <row r="4706" spans="1:1" ht="15" x14ac:dyDescent="0.25">
      <c r="A4706"/>
    </row>
    <row r="4707" spans="1:1" ht="15" x14ac:dyDescent="0.25">
      <c r="A4707"/>
    </row>
    <row r="4708" spans="1:1" ht="15" x14ac:dyDescent="0.25">
      <c r="A4708"/>
    </row>
    <row r="4709" spans="1:1" ht="15" x14ac:dyDescent="0.25">
      <c r="A4709"/>
    </row>
    <row r="4710" spans="1:1" ht="15" x14ac:dyDescent="0.25">
      <c r="A4710"/>
    </row>
    <row r="4711" spans="1:1" ht="15" x14ac:dyDescent="0.25">
      <c r="A4711"/>
    </row>
    <row r="4712" spans="1:1" ht="15" x14ac:dyDescent="0.25">
      <c r="A4712"/>
    </row>
    <row r="4713" spans="1:1" ht="15" x14ac:dyDescent="0.25">
      <c r="A4713"/>
    </row>
    <row r="4714" spans="1:1" ht="15" x14ac:dyDescent="0.25">
      <c r="A4714"/>
    </row>
    <row r="4715" spans="1:1" ht="15" x14ac:dyDescent="0.25">
      <c r="A4715"/>
    </row>
    <row r="4716" spans="1:1" ht="15" x14ac:dyDescent="0.25">
      <c r="A4716"/>
    </row>
    <row r="4717" spans="1:1" ht="15" x14ac:dyDescent="0.25">
      <c r="A4717"/>
    </row>
    <row r="4718" spans="1:1" ht="15" x14ac:dyDescent="0.25">
      <c r="A4718"/>
    </row>
    <row r="4719" spans="1:1" ht="15" x14ac:dyDescent="0.25">
      <c r="A4719"/>
    </row>
    <row r="4720" spans="1:1" ht="15" x14ac:dyDescent="0.25">
      <c r="A4720"/>
    </row>
    <row r="4721" spans="1:1" ht="15" x14ac:dyDescent="0.25">
      <c r="A4721"/>
    </row>
    <row r="4722" spans="1:1" ht="15" x14ac:dyDescent="0.25">
      <c r="A4722"/>
    </row>
    <row r="4723" spans="1:1" ht="15" x14ac:dyDescent="0.25">
      <c r="A4723"/>
    </row>
    <row r="4724" spans="1:1" ht="15" x14ac:dyDescent="0.25">
      <c r="A4724"/>
    </row>
    <row r="4725" spans="1:1" ht="15" x14ac:dyDescent="0.25">
      <c r="A4725"/>
    </row>
    <row r="4726" spans="1:1" ht="15" x14ac:dyDescent="0.25">
      <c r="A4726"/>
    </row>
    <row r="4727" spans="1:1" ht="15" x14ac:dyDescent="0.25">
      <c r="A4727"/>
    </row>
    <row r="4728" spans="1:1" ht="15" x14ac:dyDescent="0.25">
      <c r="A4728"/>
    </row>
    <row r="4729" spans="1:1" ht="15" x14ac:dyDescent="0.25">
      <c r="A4729"/>
    </row>
    <row r="4730" spans="1:1" ht="15" x14ac:dyDescent="0.25">
      <c r="A4730"/>
    </row>
    <row r="4731" spans="1:1" ht="15" x14ac:dyDescent="0.25">
      <c r="A4731"/>
    </row>
    <row r="4732" spans="1:1" ht="15" x14ac:dyDescent="0.25">
      <c r="A4732"/>
    </row>
    <row r="4733" spans="1:1" ht="15" x14ac:dyDescent="0.25">
      <c r="A4733"/>
    </row>
    <row r="4734" spans="1:1" ht="15" x14ac:dyDescent="0.25">
      <c r="A4734"/>
    </row>
    <row r="4735" spans="1:1" ht="15" x14ac:dyDescent="0.25">
      <c r="A4735"/>
    </row>
    <row r="4736" spans="1:1" ht="15" x14ac:dyDescent="0.25">
      <c r="A4736"/>
    </row>
    <row r="4737" spans="1:1" ht="15" x14ac:dyDescent="0.25">
      <c r="A4737"/>
    </row>
    <row r="4738" spans="1:1" ht="15" x14ac:dyDescent="0.25">
      <c r="A4738"/>
    </row>
    <row r="4739" spans="1:1" ht="15" x14ac:dyDescent="0.25">
      <c r="A4739"/>
    </row>
    <row r="4740" spans="1:1" ht="15" x14ac:dyDescent="0.25">
      <c r="A4740"/>
    </row>
    <row r="4741" spans="1:1" ht="15" x14ac:dyDescent="0.25">
      <c r="A4741"/>
    </row>
    <row r="4742" spans="1:1" ht="15" x14ac:dyDescent="0.25">
      <c r="A4742"/>
    </row>
    <row r="4743" spans="1:1" ht="15" x14ac:dyDescent="0.25">
      <c r="A4743"/>
    </row>
    <row r="4744" spans="1:1" ht="15" x14ac:dyDescent="0.25">
      <c r="A4744"/>
    </row>
    <row r="4745" spans="1:1" ht="15" x14ac:dyDescent="0.25">
      <c r="A4745"/>
    </row>
    <row r="4746" spans="1:1" ht="15" x14ac:dyDescent="0.25">
      <c r="A4746"/>
    </row>
    <row r="4747" spans="1:1" ht="15" x14ac:dyDescent="0.25">
      <c r="A4747"/>
    </row>
    <row r="4748" spans="1:1" ht="15" x14ac:dyDescent="0.25">
      <c r="A4748"/>
    </row>
    <row r="4749" spans="1:1" ht="15" x14ac:dyDescent="0.25">
      <c r="A4749"/>
    </row>
    <row r="4750" spans="1:1" ht="15" x14ac:dyDescent="0.25">
      <c r="A4750"/>
    </row>
    <row r="4751" spans="1:1" ht="15" x14ac:dyDescent="0.25">
      <c r="A4751"/>
    </row>
    <row r="4752" spans="1:1" ht="15" x14ac:dyDescent="0.25">
      <c r="A4752"/>
    </row>
    <row r="4753" spans="1:1" ht="15" x14ac:dyDescent="0.25">
      <c r="A4753"/>
    </row>
    <row r="4754" spans="1:1" ht="15" x14ac:dyDescent="0.25">
      <c r="A4754"/>
    </row>
    <row r="4755" spans="1:1" ht="15" x14ac:dyDescent="0.25">
      <c r="A4755"/>
    </row>
    <row r="4756" spans="1:1" ht="15" x14ac:dyDescent="0.25">
      <c r="A4756"/>
    </row>
    <row r="4757" spans="1:1" ht="15" x14ac:dyDescent="0.25">
      <c r="A4757"/>
    </row>
    <row r="4758" spans="1:1" ht="15" x14ac:dyDescent="0.25">
      <c r="A4758"/>
    </row>
    <row r="4759" spans="1:1" ht="15" x14ac:dyDescent="0.25">
      <c r="A4759"/>
    </row>
    <row r="4760" spans="1:1" ht="15" x14ac:dyDescent="0.25">
      <c r="A4760"/>
    </row>
    <row r="4761" spans="1:1" ht="15" x14ac:dyDescent="0.25">
      <c r="A4761"/>
    </row>
    <row r="4762" spans="1:1" ht="15" x14ac:dyDescent="0.25">
      <c r="A4762"/>
    </row>
    <row r="4763" spans="1:1" ht="15" x14ac:dyDescent="0.25">
      <c r="A4763"/>
    </row>
    <row r="4764" spans="1:1" ht="15" x14ac:dyDescent="0.25">
      <c r="A4764"/>
    </row>
    <row r="4765" spans="1:1" ht="15" x14ac:dyDescent="0.25">
      <c r="A4765"/>
    </row>
    <row r="4766" spans="1:1" ht="15" x14ac:dyDescent="0.25">
      <c r="A4766"/>
    </row>
    <row r="4767" spans="1:1" ht="15" x14ac:dyDescent="0.25">
      <c r="A4767"/>
    </row>
    <row r="4768" spans="1:1" ht="15" x14ac:dyDescent="0.25">
      <c r="A4768"/>
    </row>
    <row r="4769" spans="1:1" ht="15" x14ac:dyDescent="0.25">
      <c r="A4769"/>
    </row>
    <row r="4770" spans="1:1" ht="15" x14ac:dyDescent="0.25">
      <c r="A4770"/>
    </row>
    <row r="4771" spans="1:1" ht="15" x14ac:dyDescent="0.25">
      <c r="A4771"/>
    </row>
    <row r="4772" spans="1:1" ht="15" x14ac:dyDescent="0.25">
      <c r="A4772"/>
    </row>
    <row r="4773" spans="1:1" ht="15" x14ac:dyDescent="0.25">
      <c r="A4773"/>
    </row>
    <row r="4774" spans="1:1" ht="15" x14ac:dyDescent="0.25">
      <c r="A4774"/>
    </row>
    <row r="4775" spans="1:1" ht="15" x14ac:dyDescent="0.25">
      <c r="A4775"/>
    </row>
    <row r="4776" spans="1:1" ht="15" x14ac:dyDescent="0.25">
      <c r="A4776"/>
    </row>
    <row r="4777" spans="1:1" ht="15" x14ac:dyDescent="0.25">
      <c r="A4777"/>
    </row>
    <row r="4778" spans="1:1" ht="15" x14ac:dyDescent="0.25">
      <c r="A4778"/>
    </row>
    <row r="4779" spans="1:1" ht="15" x14ac:dyDescent="0.25">
      <c r="A4779"/>
    </row>
    <row r="4780" spans="1:1" ht="15" x14ac:dyDescent="0.25">
      <c r="A4780"/>
    </row>
    <row r="4781" spans="1:1" ht="15" x14ac:dyDescent="0.25">
      <c r="A4781"/>
    </row>
    <row r="4782" spans="1:1" ht="15" x14ac:dyDescent="0.25">
      <c r="A4782"/>
    </row>
    <row r="4783" spans="1:1" ht="15" x14ac:dyDescent="0.25">
      <c r="A4783"/>
    </row>
    <row r="4784" spans="1:1" ht="15" x14ac:dyDescent="0.25">
      <c r="A4784"/>
    </row>
    <row r="4785" spans="1:1" ht="15" x14ac:dyDescent="0.25">
      <c r="A4785"/>
    </row>
    <row r="4786" spans="1:1" ht="15" x14ac:dyDescent="0.25">
      <c r="A4786"/>
    </row>
    <row r="4787" spans="1:1" ht="15" x14ac:dyDescent="0.25">
      <c r="A4787"/>
    </row>
    <row r="4788" spans="1:1" ht="15" x14ac:dyDescent="0.25">
      <c r="A4788"/>
    </row>
    <row r="4789" spans="1:1" ht="15" x14ac:dyDescent="0.25">
      <c r="A4789"/>
    </row>
    <row r="4790" spans="1:1" ht="15" x14ac:dyDescent="0.25">
      <c r="A4790"/>
    </row>
    <row r="4791" spans="1:1" ht="15" x14ac:dyDescent="0.25">
      <c r="A4791"/>
    </row>
    <row r="4792" spans="1:1" ht="15" x14ac:dyDescent="0.25">
      <c r="A4792"/>
    </row>
    <row r="4793" spans="1:1" ht="15" x14ac:dyDescent="0.25">
      <c r="A4793"/>
    </row>
    <row r="4794" spans="1:1" ht="15" x14ac:dyDescent="0.25">
      <c r="A4794"/>
    </row>
    <row r="4795" spans="1:1" ht="15" x14ac:dyDescent="0.25">
      <c r="A4795"/>
    </row>
    <row r="4796" spans="1:1" ht="15" x14ac:dyDescent="0.25">
      <c r="A4796"/>
    </row>
    <row r="4797" spans="1:1" ht="15" x14ac:dyDescent="0.25">
      <c r="A4797"/>
    </row>
    <row r="4798" spans="1:1" ht="15" x14ac:dyDescent="0.25">
      <c r="A4798"/>
    </row>
    <row r="4799" spans="1:1" ht="15" x14ac:dyDescent="0.25">
      <c r="A4799"/>
    </row>
    <row r="4800" spans="1:1" ht="15" x14ac:dyDescent="0.25">
      <c r="A4800"/>
    </row>
    <row r="4801" spans="1:1" ht="15" x14ac:dyDescent="0.25">
      <c r="A4801"/>
    </row>
    <row r="4802" spans="1:1" ht="15" x14ac:dyDescent="0.25">
      <c r="A4802"/>
    </row>
    <row r="4803" spans="1:1" ht="15" x14ac:dyDescent="0.25">
      <c r="A4803"/>
    </row>
    <row r="4804" spans="1:1" ht="15" x14ac:dyDescent="0.25">
      <c r="A4804"/>
    </row>
    <row r="4805" spans="1:1" ht="15" x14ac:dyDescent="0.25">
      <c r="A4805"/>
    </row>
    <row r="4806" spans="1:1" ht="15" x14ac:dyDescent="0.25">
      <c r="A4806"/>
    </row>
    <row r="4807" spans="1:1" ht="15" x14ac:dyDescent="0.25">
      <c r="A4807"/>
    </row>
    <row r="4808" spans="1:1" ht="15" x14ac:dyDescent="0.25">
      <c r="A4808"/>
    </row>
    <row r="4809" spans="1:1" ht="15" x14ac:dyDescent="0.25">
      <c r="A4809"/>
    </row>
    <row r="4810" spans="1:1" ht="15" x14ac:dyDescent="0.25">
      <c r="A4810"/>
    </row>
    <row r="4811" spans="1:1" ht="15" x14ac:dyDescent="0.25">
      <c r="A4811"/>
    </row>
    <row r="4812" spans="1:1" ht="15" x14ac:dyDescent="0.25">
      <c r="A4812"/>
    </row>
    <row r="4813" spans="1:1" ht="15" x14ac:dyDescent="0.25">
      <c r="A4813"/>
    </row>
    <row r="4814" spans="1:1" ht="15" x14ac:dyDescent="0.25">
      <c r="A4814"/>
    </row>
    <row r="4815" spans="1:1" ht="15" x14ac:dyDescent="0.25">
      <c r="A4815"/>
    </row>
    <row r="4816" spans="1:1" ht="15" x14ac:dyDescent="0.25">
      <c r="A4816"/>
    </row>
    <row r="4817" spans="1:1" ht="15" x14ac:dyDescent="0.25">
      <c r="A4817"/>
    </row>
    <row r="4818" spans="1:1" ht="15" x14ac:dyDescent="0.25">
      <c r="A4818"/>
    </row>
    <row r="4819" spans="1:1" ht="15" x14ac:dyDescent="0.25">
      <c r="A4819"/>
    </row>
    <row r="4820" spans="1:1" ht="15" x14ac:dyDescent="0.25">
      <c r="A4820"/>
    </row>
    <row r="4821" spans="1:1" ht="15" x14ac:dyDescent="0.25">
      <c r="A4821"/>
    </row>
    <row r="4822" spans="1:1" ht="15" x14ac:dyDescent="0.25">
      <c r="A4822"/>
    </row>
    <row r="4823" spans="1:1" ht="15" x14ac:dyDescent="0.25">
      <c r="A4823"/>
    </row>
    <row r="4824" spans="1:1" ht="15" x14ac:dyDescent="0.25">
      <c r="A4824"/>
    </row>
    <row r="4825" spans="1:1" ht="15" x14ac:dyDescent="0.25">
      <c r="A4825"/>
    </row>
    <row r="4826" spans="1:1" ht="15" x14ac:dyDescent="0.25">
      <c r="A4826"/>
    </row>
    <row r="4827" spans="1:1" ht="15" x14ac:dyDescent="0.25">
      <c r="A4827"/>
    </row>
    <row r="4828" spans="1:1" ht="15" x14ac:dyDescent="0.25">
      <c r="A4828"/>
    </row>
    <row r="4829" spans="1:1" ht="15" x14ac:dyDescent="0.25">
      <c r="A4829"/>
    </row>
    <row r="4830" spans="1:1" ht="15" x14ac:dyDescent="0.25">
      <c r="A4830"/>
    </row>
    <row r="4831" spans="1:1" ht="15" x14ac:dyDescent="0.25">
      <c r="A4831"/>
    </row>
    <row r="4832" spans="1:1" ht="15" x14ac:dyDescent="0.25">
      <c r="A4832"/>
    </row>
    <row r="4833" spans="1:1" ht="15" x14ac:dyDescent="0.25">
      <c r="A4833"/>
    </row>
    <row r="4834" spans="1:1" ht="15" x14ac:dyDescent="0.25">
      <c r="A4834"/>
    </row>
    <row r="4835" spans="1:1" ht="15" x14ac:dyDescent="0.25">
      <c r="A4835"/>
    </row>
    <row r="4836" spans="1:1" ht="15" x14ac:dyDescent="0.25">
      <c r="A4836"/>
    </row>
    <row r="4837" spans="1:1" ht="15" x14ac:dyDescent="0.25">
      <c r="A4837"/>
    </row>
    <row r="4838" spans="1:1" ht="15" x14ac:dyDescent="0.25">
      <c r="A4838"/>
    </row>
    <row r="4839" spans="1:1" ht="15" x14ac:dyDescent="0.25">
      <c r="A4839"/>
    </row>
    <row r="4840" spans="1:1" ht="15" x14ac:dyDescent="0.25">
      <c r="A4840"/>
    </row>
    <row r="4841" spans="1:1" ht="15" x14ac:dyDescent="0.25">
      <c r="A4841"/>
    </row>
    <row r="4842" spans="1:1" ht="15" x14ac:dyDescent="0.25">
      <c r="A4842"/>
    </row>
    <row r="4843" spans="1:1" ht="15" x14ac:dyDescent="0.25">
      <c r="A4843"/>
    </row>
    <row r="4844" spans="1:1" ht="15" x14ac:dyDescent="0.25">
      <c r="A4844"/>
    </row>
    <row r="4845" spans="1:1" ht="15" x14ac:dyDescent="0.25">
      <c r="A4845"/>
    </row>
    <row r="4846" spans="1:1" ht="15" x14ac:dyDescent="0.25">
      <c r="A4846"/>
    </row>
    <row r="4847" spans="1:1" ht="15" x14ac:dyDescent="0.25">
      <c r="A4847"/>
    </row>
    <row r="4848" spans="1:1" ht="15" x14ac:dyDescent="0.25">
      <c r="A4848"/>
    </row>
    <row r="4849" spans="1:1" ht="15" x14ac:dyDescent="0.25">
      <c r="A4849"/>
    </row>
    <row r="4850" spans="1:1" ht="15" x14ac:dyDescent="0.25">
      <c r="A4850"/>
    </row>
    <row r="4851" spans="1:1" ht="15" x14ac:dyDescent="0.25">
      <c r="A4851"/>
    </row>
    <row r="4852" spans="1:1" ht="15" x14ac:dyDescent="0.25">
      <c r="A4852"/>
    </row>
    <row r="4853" spans="1:1" ht="15" x14ac:dyDescent="0.25">
      <c r="A4853"/>
    </row>
    <row r="4854" spans="1:1" ht="15" x14ac:dyDescent="0.25">
      <c r="A4854"/>
    </row>
    <row r="4855" spans="1:1" ht="15" x14ac:dyDescent="0.25">
      <c r="A4855"/>
    </row>
    <row r="4856" spans="1:1" ht="15" x14ac:dyDescent="0.25">
      <c r="A4856"/>
    </row>
    <row r="4857" spans="1:1" ht="15" x14ac:dyDescent="0.25">
      <c r="A4857"/>
    </row>
    <row r="4858" spans="1:1" ht="15" x14ac:dyDescent="0.25">
      <c r="A4858"/>
    </row>
    <row r="4859" spans="1:1" ht="15" x14ac:dyDescent="0.25">
      <c r="A4859"/>
    </row>
    <row r="4860" spans="1:1" ht="15" x14ac:dyDescent="0.25">
      <c r="A4860"/>
    </row>
    <row r="4861" spans="1:1" ht="15" x14ac:dyDescent="0.25">
      <c r="A4861"/>
    </row>
    <row r="4862" spans="1:1" ht="15" x14ac:dyDescent="0.25">
      <c r="A4862"/>
    </row>
    <row r="4863" spans="1:1" ht="15" x14ac:dyDescent="0.25">
      <c r="A4863"/>
    </row>
    <row r="4864" spans="1:1" ht="15" x14ac:dyDescent="0.25">
      <c r="A4864"/>
    </row>
    <row r="4865" spans="1:1" ht="15" x14ac:dyDescent="0.25">
      <c r="A4865"/>
    </row>
    <row r="4866" spans="1:1" ht="15" x14ac:dyDescent="0.25">
      <c r="A4866"/>
    </row>
    <row r="4867" spans="1:1" ht="15" x14ac:dyDescent="0.25">
      <c r="A4867"/>
    </row>
    <row r="4868" spans="1:1" ht="15" x14ac:dyDescent="0.25">
      <c r="A4868"/>
    </row>
    <row r="4869" spans="1:1" ht="15" x14ac:dyDescent="0.25">
      <c r="A4869"/>
    </row>
    <row r="4870" spans="1:1" ht="15" x14ac:dyDescent="0.25">
      <c r="A4870"/>
    </row>
    <row r="4871" spans="1:1" ht="15" x14ac:dyDescent="0.25">
      <c r="A4871"/>
    </row>
    <row r="4872" spans="1:1" ht="15" x14ac:dyDescent="0.25">
      <c r="A4872"/>
    </row>
    <row r="4873" spans="1:1" ht="15" x14ac:dyDescent="0.25">
      <c r="A4873"/>
    </row>
    <row r="4874" spans="1:1" ht="15" x14ac:dyDescent="0.25">
      <c r="A4874"/>
    </row>
    <row r="4875" spans="1:1" ht="15" x14ac:dyDescent="0.25">
      <c r="A4875"/>
    </row>
    <row r="4876" spans="1:1" ht="15" x14ac:dyDescent="0.25">
      <c r="A4876"/>
    </row>
    <row r="4877" spans="1:1" ht="15" x14ac:dyDescent="0.25">
      <c r="A4877"/>
    </row>
    <row r="4878" spans="1:1" ht="15" x14ac:dyDescent="0.25">
      <c r="A4878"/>
    </row>
    <row r="4879" spans="1:1" ht="15" x14ac:dyDescent="0.25">
      <c r="A4879"/>
    </row>
    <row r="4880" spans="1:1" ht="15" x14ac:dyDescent="0.25">
      <c r="A4880"/>
    </row>
    <row r="4881" spans="1:1" ht="15" x14ac:dyDescent="0.25">
      <c r="A4881"/>
    </row>
    <row r="4882" spans="1:1" ht="15" x14ac:dyDescent="0.25">
      <c r="A4882"/>
    </row>
    <row r="4883" spans="1:1" ht="15" x14ac:dyDescent="0.25">
      <c r="A4883"/>
    </row>
    <row r="4884" spans="1:1" ht="15" x14ac:dyDescent="0.25">
      <c r="A4884"/>
    </row>
    <row r="4885" spans="1:1" ht="15" x14ac:dyDescent="0.25">
      <c r="A4885"/>
    </row>
    <row r="4886" spans="1:1" ht="15" x14ac:dyDescent="0.25">
      <c r="A4886"/>
    </row>
    <row r="4887" spans="1:1" ht="15" x14ac:dyDescent="0.25">
      <c r="A4887"/>
    </row>
    <row r="4888" spans="1:1" ht="15" x14ac:dyDescent="0.25">
      <c r="A4888"/>
    </row>
    <row r="4889" spans="1:1" ht="15" x14ac:dyDescent="0.25">
      <c r="A4889"/>
    </row>
    <row r="4890" spans="1:1" ht="15" x14ac:dyDescent="0.25">
      <c r="A4890"/>
    </row>
    <row r="4891" spans="1:1" ht="15" x14ac:dyDescent="0.25">
      <c r="A4891"/>
    </row>
    <row r="4892" spans="1:1" ht="15" x14ac:dyDescent="0.25">
      <c r="A4892"/>
    </row>
    <row r="4893" spans="1:1" ht="15" x14ac:dyDescent="0.25">
      <c r="A4893"/>
    </row>
    <row r="4894" spans="1:1" ht="15" x14ac:dyDescent="0.25">
      <c r="A4894"/>
    </row>
    <row r="4895" spans="1:1" ht="15" x14ac:dyDescent="0.25">
      <c r="A4895"/>
    </row>
    <row r="4896" spans="1:1" ht="15" x14ac:dyDescent="0.25">
      <c r="A4896"/>
    </row>
    <row r="4897" spans="1:1" ht="15" x14ac:dyDescent="0.25">
      <c r="A4897"/>
    </row>
    <row r="4898" spans="1:1" ht="15" x14ac:dyDescent="0.25">
      <c r="A4898"/>
    </row>
    <row r="4899" spans="1:1" ht="15" x14ac:dyDescent="0.25">
      <c r="A4899"/>
    </row>
    <row r="4900" spans="1:1" ht="15" x14ac:dyDescent="0.25">
      <c r="A4900"/>
    </row>
    <row r="4901" spans="1:1" ht="15" x14ac:dyDescent="0.25">
      <c r="A4901"/>
    </row>
    <row r="4902" spans="1:1" ht="15" x14ac:dyDescent="0.25">
      <c r="A4902"/>
    </row>
    <row r="4903" spans="1:1" ht="15" x14ac:dyDescent="0.25">
      <c r="A4903"/>
    </row>
    <row r="4904" spans="1:1" ht="15" x14ac:dyDescent="0.25">
      <c r="A4904"/>
    </row>
    <row r="4905" spans="1:1" ht="15" x14ac:dyDescent="0.25">
      <c r="A4905"/>
    </row>
    <row r="4906" spans="1:1" ht="15" x14ac:dyDescent="0.25">
      <c r="A4906"/>
    </row>
    <row r="4907" spans="1:1" ht="15" x14ac:dyDescent="0.25">
      <c r="A4907"/>
    </row>
    <row r="4908" spans="1:1" ht="15" x14ac:dyDescent="0.25">
      <c r="A4908"/>
    </row>
    <row r="4909" spans="1:1" ht="15" x14ac:dyDescent="0.25">
      <c r="A4909"/>
    </row>
    <row r="4910" spans="1:1" ht="15" x14ac:dyDescent="0.25">
      <c r="A4910"/>
    </row>
    <row r="4911" spans="1:1" ht="15" x14ac:dyDescent="0.25">
      <c r="A4911"/>
    </row>
    <row r="4912" spans="1:1" ht="15" x14ac:dyDescent="0.25">
      <c r="A4912"/>
    </row>
    <row r="4913" spans="1:1" ht="15" x14ac:dyDescent="0.25">
      <c r="A4913"/>
    </row>
    <row r="4914" spans="1:1" ht="15" x14ac:dyDescent="0.25">
      <c r="A4914"/>
    </row>
    <row r="4915" spans="1:1" ht="15" x14ac:dyDescent="0.25">
      <c r="A4915"/>
    </row>
    <row r="4916" spans="1:1" ht="15" x14ac:dyDescent="0.25">
      <c r="A4916"/>
    </row>
    <row r="4917" spans="1:1" ht="15" x14ac:dyDescent="0.25">
      <c r="A4917"/>
    </row>
    <row r="4918" spans="1:1" ht="15" x14ac:dyDescent="0.25">
      <c r="A4918"/>
    </row>
    <row r="4919" spans="1:1" ht="15" x14ac:dyDescent="0.25">
      <c r="A4919"/>
    </row>
    <row r="4920" spans="1:1" ht="15" x14ac:dyDescent="0.25">
      <c r="A4920"/>
    </row>
    <row r="4921" spans="1:1" ht="15" x14ac:dyDescent="0.25">
      <c r="A4921"/>
    </row>
    <row r="4922" spans="1:1" ht="15" x14ac:dyDescent="0.25">
      <c r="A4922"/>
    </row>
    <row r="4923" spans="1:1" ht="15" x14ac:dyDescent="0.25">
      <c r="A4923"/>
    </row>
    <row r="4924" spans="1:1" ht="15" x14ac:dyDescent="0.25">
      <c r="A4924"/>
    </row>
    <row r="4925" spans="1:1" ht="15" x14ac:dyDescent="0.25">
      <c r="A4925"/>
    </row>
    <row r="4926" spans="1:1" ht="15" x14ac:dyDescent="0.25">
      <c r="A4926"/>
    </row>
    <row r="4927" spans="1:1" ht="15" x14ac:dyDescent="0.25">
      <c r="A4927"/>
    </row>
    <row r="4928" spans="1:1" ht="15" x14ac:dyDescent="0.25">
      <c r="A4928"/>
    </row>
    <row r="4929" spans="1:1" ht="15" x14ac:dyDescent="0.25">
      <c r="A4929"/>
    </row>
    <row r="4930" spans="1:1" ht="15" x14ac:dyDescent="0.25">
      <c r="A4930"/>
    </row>
    <row r="4931" spans="1:1" ht="15" x14ac:dyDescent="0.25">
      <c r="A4931"/>
    </row>
    <row r="4932" spans="1:1" ht="15" x14ac:dyDescent="0.25">
      <c r="A4932"/>
    </row>
    <row r="4933" spans="1:1" ht="15" x14ac:dyDescent="0.25">
      <c r="A4933"/>
    </row>
    <row r="4934" spans="1:1" ht="15" x14ac:dyDescent="0.25">
      <c r="A4934"/>
    </row>
    <row r="4935" spans="1:1" ht="15" x14ac:dyDescent="0.25">
      <c r="A4935"/>
    </row>
    <row r="4936" spans="1:1" ht="15" x14ac:dyDescent="0.25">
      <c r="A4936"/>
    </row>
    <row r="4937" spans="1:1" ht="15" x14ac:dyDescent="0.25">
      <c r="A4937"/>
    </row>
    <row r="4938" spans="1:1" ht="15" x14ac:dyDescent="0.25">
      <c r="A4938"/>
    </row>
    <row r="4939" spans="1:1" ht="15" x14ac:dyDescent="0.25">
      <c r="A4939"/>
    </row>
    <row r="4940" spans="1:1" ht="15" x14ac:dyDescent="0.25">
      <c r="A4940"/>
    </row>
    <row r="4941" spans="1:1" ht="15" x14ac:dyDescent="0.25">
      <c r="A4941"/>
    </row>
    <row r="4942" spans="1:1" ht="15" x14ac:dyDescent="0.25">
      <c r="A4942"/>
    </row>
    <row r="4943" spans="1:1" ht="15" x14ac:dyDescent="0.25">
      <c r="A4943"/>
    </row>
    <row r="4944" spans="1:1" ht="15" x14ac:dyDescent="0.25">
      <c r="A4944"/>
    </row>
    <row r="4945" spans="1:1" ht="15" x14ac:dyDescent="0.25">
      <c r="A4945"/>
    </row>
    <row r="4946" spans="1:1" ht="15" x14ac:dyDescent="0.25">
      <c r="A4946"/>
    </row>
    <row r="4947" spans="1:1" ht="15" x14ac:dyDescent="0.25">
      <c r="A4947"/>
    </row>
    <row r="4948" spans="1:1" ht="15" x14ac:dyDescent="0.25">
      <c r="A4948"/>
    </row>
    <row r="4949" spans="1:1" ht="15" x14ac:dyDescent="0.25">
      <c r="A4949"/>
    </row>
    <row r="4950" spans="1:1" ht="15" x14ac:dyDescent="0.25">
      <c r="A4950"/>
    </row>
    <row r="4951" spans="1:1" ht="15" x14ac:dyDescent="0.25">
      <c r="A4951"/>
    </row>
    <row r="4952" spans="1:1" ht="15" x14ac:dyDescent="0.25">
      <c r="A4952"/>
    </row>
    <row r="4953" spans="1:1" ht="15" x14ac:dyDescent="0.25">
      <c r="A4953"/>
    </row>
    <row r="4954" spans="1:1" ht="15" x14ac:dyDescent="0.25">
      <c r="A4954"/>
    </row>
    <row r="4955" spans="1:1" ht="15" x14ac:dyDescent="0.25">
      <c r="A4955"/>
    </row>
    <row r="4956" spans="1:1" ht="15" x14ac:dyDescent="0.25">
      <c r="A4956"/>
    </row>
    <row r="4957" spans="1:1" ht="15" x14ac:dyDescent="0.25">
      <c r="A4957"/>
    </row>
    <row r="4958" spans="1:1" ht="15" x14ac:dyDescent="0.25">
      <c r="A4958"/>
    </row>
    <row r="4959" spans="1:1" ht="15" x14ac:dyDescent="0.25">
      <c r="A4959"/>
    </row>
    <row r="4960" spans="1:1" ht="15" x14ac:dyDescent="0.25">
      <c r="A4960"/>
    </row>
    <row r="4961" spans="1:1" ht="15" x14ac:dyDescent="0.25">
      <c r="A4961"/>
    </row>
    <row r="4962" spans="1:1" ht="15" x14ac:dyDescent="0.25">
      <c r="A4962"/>
    </row>
    <row r="4963" spans="1:1" ht="15" x14ac:dyDescent="0.25">
      <c r="A4963"/>
    </row>
    <row r="4964" spans="1:1" ht="15" x14ac:dyDescent="0.25">
      <c r="A4964"/>
    </row>
    <row r="4965" spans="1:1" ht="15" x14ac:dyDescent="0.25">
      <c r="A4965"/>
    </row>
    <row r="4966" spans="1:1" ht="15" x14ac:dyDescent="0.25">
      <c r="A4966"/>
    </row>
    <row r="4967" spans="1:1" ht="15" x14ac:dyDescent="0.25">
      <c r="A4967"/>
    </row>
    <row r="4968" spans="1:1" ht="15" x14ac:dyDescent="0.25">
      <c r="A4968"/>
    </row>
    <row r="4969" spans="1:1" ht="15" x14ac:dyDescent="0.25">
      <c r="A4969"/>
    </row>
    <row r="4970" spans="1:1" ht="15" x14ac:dyDescent="0.25">
      <c r="A4970"/>
    </row>
    <row r="4971" spans="1:1" ht="15" x14ac:dyDescent="0.25">
      <c r="A4971"/>
    </row>
    <row r="4972" spans="1:1" ht="15" x14ac:dyDescent="0.25">
      <c r="A4972"/>
    </row>
    <row r="4973" spans="1:1" ht="15" x14ac:dyDescent="0.25">
      <c r="A4973"/>
    </row>
    <row r="4974" spans="1:1" ht="15" x14ac:dyDescent="0.25">
      <c r="A4974"/>
    </row>
    <row r="4975" spans="1:1" ht="15" x14ac:dyDescent="0.25">
      <c r="A4975"/>
    </row>
    <row r="4976" spans="1:1" ht="15" x14ac:dyDescent="0.25">
      <c r="A4976"/>
    </row>
    <row r="4977" spans="1:1" ht="15" x14ac:dyDescent="0.25">
      <c r="A4977"/>
    </row>
    <row r="4978" spans="1:1" ht="15" x14ac:dyDescent="0.25">
      <c r="A4978"/>
    </row>
    <row r="4979" spans="1:1" ht="15" x14ac:dyDescent="0.25">
      <c r="A4979"/>
    </row>
    <row r="4980" spans="1:1" ht="15" x14ac:dyDescent="0.25">
      <c r="A4980"/>
    </row>
    <row r="4981" spans="1:1" ht="15" x14ac:dyDescent="0.25">
      <c r="A4981"/>
    </row>
    <row r="4982" spans="1:1" ht="15" x14ac:dyDescent="0.25">
      <c r="A4982"/>
    </row>
    <row r="4983" spans="1:1" ht="15" x14ac:dyDescent="0.25">
      <c r="A4983"/>
    </row>
    <row r="4984" spans="1:1" ht="15" x14ac:dyDescent="0.25">
      <c r="A4984"/>
    </row>
    <row r="4985" spans="1:1" ht="15" x14ac:dyDescent="0.25">
      <c r="A4985"/>
    </row>
    <row r="4986" spans="1:1" ht="15" x14ac:dyDescent="0.25">
      <c r="A4986"/>
    </row>
    <row r="4987" spans="1:1" ht="15" x14ac:dyDescent="0.25">
      <c r="A4987"/>
    </row>
    <row r="4988" spans="1:1" ht="15" x14ac:dyDescent="0.25">
      <c r="A4988"/>
    </row>
    <row r="4989" spans="1:1" ht="15" x14ac:dyDescent="0.25">
      <c r="A4989"/>
    </row>
    <row r="4990" spans="1:1" ht="15" x14ac:dyDescent="0.25">
      <c r="A4990"/>
    </row>
    <row r="4991" spans="1:1" ht="15" x14ac:dyDescent="0.25">
      <c r="A4991"/>
    </row>
    <row r="4992" spans="1:1" ht="15" x14ac:dyDescent="0.25">
      <c r="A4992"/>
    </row>
    <row r="4993" spans="1:1" ht="15" x14ac:dyDescent="0.25">
      <c r="A4993"/>
    </row>
    <row r="4994" spans="1:1" ht="15" x14ac:dyDescent="0.25">
      <c r="A4994"/>
    </row>
    <row r="4995" spans="1:1" ht="15" x14ac:dyDescent="0.25">
      <c r="A4995"/>
    </row>
    <row r="4996" spans="1:1" ht="15" x14ac:dyDescent="0.25">
      <c r="A4996"/>
    </row>
    <row r="4997" spans="1:1" ht="15" x14ac:dyDescent="0.25">
      <c r="A4997"/>
    </row>
    <row r="4998" spans="1:1" ht="15" x14ac:dyDescent="0.25">
      <c r="A4998"/>
    </row>
    <row r="4999" spans="1:1" ht="15" x14ac:dyDescent="0.25">
      <c r="A4999"/>
    </row>
    <row r="5000" spans="1:1" ht="15" x14ac:dyDescent="0.25">
      <c r="A5000"/>
    </row>
    <row r="5001" spans="1:1" ht="15" x14ac:dyDescent="0.25">
      <c r="A5001"/>
    </row>
    <row r="5002" spans="1:1" ht="15" x14ac:dyDescent="0.25">
      <c r="A5002"/>
    </row>
    <row r="5003" spans="1:1" ht="15" x14ac:dyDescent="0.25">
      <c r="A5003"/>
    </row>
    <row r="5004" spans="1:1" ht="15" x14ac:dyDescent="0.25">
      <c r="A5004"/>
    </row>
    <row r="5005" spans="1:1" ht="15" x14ac:dyDescent="0.25">
      <c r="A5005"/>
    </row>
    <row r="5006" spans="1:1" ht="15" x14ac:dyDescent="0.25">
      <c r="A5006"/>
    </row>
    <row r="5007" spans="1:1" ht="15" x14ac:dyDescent="0.25">
      <c r="A5007"/>
    </row>
    <row r="5008" spans="1:1" ht="15" x14ac:dyDescent="0.25">
      <c r="A5008"/>
    </row>
    <row r="5009" spans="1:1" ht="15" x14ac:dyDescent="0.25">
      <c r="A5009"/>
    </row>
    <row r="5010" spans="1:1" ht="15" x14ac:dyDescent="0.25">
      <c r="A5010"/>
    </row>
    <row r="5011" spans="1:1" ht="15" x14ac:dyDescent="0.25">
      <c r="A5011"/>
    </row>
    <row r="5012" spans="1:1" ht="15" x14ac:dyDescent="0.25">
      <c r="A5012"/>
    </row>
    <row r="5013" spans="1:1" ht="15" x14ac:dyDescent="0.25">
      <c r="A5013"/>
    </row>
    <row r="5014" spans="1:1" ht="15" x14ac:dyDescent="0.25">
      <c r="A5014"/>
    </row>
    <row r="5015" spans="1:1" ht="15" x14ac:dyDescent="0.25">
      <c r="A5015"/>
    </row>
    <row r="5016" spans="1:1" ht="15" x14ac:dyDescent="0.25">
      <c r="A5016"/>
    </row>
    <row r="5017" spans="1:1" ht="15" x14ac:dyDescent="0.25">
      <c r="A5017"/>
    </row>
    <row r="5018" spans="1:1" ht="15" x14ac:dyDescent="0.25">
      <c r="A5018"/>
    </row>
    <row r="5019" spans="1:1" ht="15" x14ac:dyDescent="0.25">
      <c r="A5019"/>
    </row>
    <row r="5020" spans="1:1" ht="15" x14ac:dyDescent="0.25">
      <c r="A5020"/>
    </row>
    <row r="5021" spans="1:1" ht="15" x14ac:dyDescent="0.25">
      <c r="A5021"/>
    </row>
    <row r="5022" spans="1:1" ht="15" x14ac:dyDescent="0.25">
      <c r="A5022"/>
    </row>
    <row r="5023" spans="1:1" ht="15" x14ac:dyDescent="0.25">
      <c r="A5023"/>
    </row>
    <row r="5024" spans="1:1" ht="15" x14ac:dyDescent="0.25">
      <c r="A5024"/>
    </row>
    <row r="5025" spans="1:1" ht="15" x14ac:dyDescent="0.25">
      <c r="A5025"/>
    </row>
    <row r="5026" spans="1:1" ht="15" x14ac:dyDescent="0.25">
      <c r="A5026"/>
    </row>
    <row r="5027" spans="1:1" ht="15" x14ac:dyDescent="0.25">
      <c r="A5027"/>
    </row>
    <row r="5028" spans="1:1" ht="15" x14ac:dyDescent="0.25">
      <c r="A5028"/>
    </row>
    <row r="5029" spans="1:1" ht="15" x14ac:dyDescent="0.25">
      <c r="A5029"/>
    </row>
    <row r="5030" spans="1:1" ht="15" x14ac:dyDescent="0.25">
      <c r="A5030"/>
    </row>
    <row r="5031" spans="1:1" ht="15" x14ac:dyDescent="0.25">
      <c r="A5031"/>
    </row>
    <row r="5032" spans="1:1" ht="15" x14ac:dyDescent="0.25">
      <c r="A5032"/>
    </row>
    <row r="5033" spans="1:1" ht="15" x14ac:dyDescent="0.25">
      <c r="A5033"/>
    </row>
    <row r="5034" spans="1:1" ht="15" x14ac:dyDescent="0.25">
      <c r="A5034"/>
    </row>
    <row r="5035" spans="1:1" ht="15" x14ac:dyDescent="0.25">
      <c r="A5035"/>
    </row>
    <row r="5036" spans="1:1" ht="15" x14ac:dyDescent="0.25">
      <c r="A5036"/>
    </row>
    <row r="5037" spans="1:1" ht="15" x14ac:dyDescent="0.25">
      <c r="A5037"/>
    </row>
    <row r="5038" spans="1:1" ht="15" x14ac:dyDescent="0.25">
      <c r="A5038"/>
    </row>
    <row r="5039" spans="1:1" ht="15" x14ac:dyDescent="0.25">
      <c r="A5039"/>
    </row>
    <row r="5040" spans="1:1" ht="15" x14ac:dyDescent="0.25">
      <c r="A5040"/>
    </row>
    <row r="5041" spans="1:1" ht="15" x14ac:dyDescent="0.25">
      <c r="A5041"/>
    </row>
    <row r="5042" spans="1:1" ht="15" x14ac:dyDescent="0.25">
      <c r="A5042"/>
    </row>
    <row r="5043" spans="1:1" ht="15" x14ac:dyDescent="0.25">
      <c r="A5043"/>
    </row>
    <row r="5044" spans="1:1" ht="15" x14ac:dyDescent="0.25">
      <c r="A5044"/>
    </row>
    <row r="5045" spans="1:1" ht="15" x14ac:dyDescent="0.25">
      <c r="A5045"/>
    </row>
    <row r="5046" spans="1:1" ht="15" x14ac:dyDescent="0.25">
      <c r="A5046"/>
    </row>
    <row r="5047" spans="1:1" ht="15" x14ac:dyDescent="0.25">
      <c r="A5047"/>
    </row>
    <row r="5048" spans="1:1" ht="15" x14ac:dyDescent="0.25">
      <c r="A5048"/>
    </row>
    <row r="5049" spans="1:1" ht="15" x14ac:dyDescent="0.25">
      <c r="A5049"/>
    </row>
    <row r="5050" spans="1:1" ht="15" x14ac:dyDescent="0.25">
      <c r="A5050"/>
    </row>
    <row r="5051" spans="1:1" ht="15" x14ac:dyDescent="0.25">
      <c r="A5051"/>
    </row>
    <row r="5052" spans="1:1" ht="15" x14ac:dyDescent="0.25">
      <c r="A5052"/>
    </row>
    <row r="5053" spans="1:1" ht="15" x14ac:dyDescent="0.25">
      <c r="A5053"/>
    </row>
    <row r="5054" spans="1:1" ht="15" x14ac:dyDescent="0.25">
      <c r="A5054"/>
    </row>
    <row r="5055" spans="1:1" ht="15" x14ac:dyDescent="0.25">
      <c r="A5055"/>
    </row>
    <row r="5056" spans="1:1" ht="15" x14ac:dyDescent="0.25">
      <c r="A5056"/>
    </row>
    <row r="5057" spans="1:1" ht="15" x14ac:dyDescent="0.25">
      <c r="A5057"/>
    </row>
    <row r="5058" spans="1:1" ht="15" x14ac:dyDescent="0.25">
      <c r="A5058"/>
    </row>
    <row r="5059" spans="1:1" ht="15" x14ac:dyDescent="0.25">
      <c r="A5059"/>
    </row>
    <row r="5060" spans="1:1" ht="15" x14ac:dyDescent="0.25">
      <c r="A5060"/>
    </row>
    <row r="5061" spans="1:1" ht="15" x14ac:dyDescent="0.25">
      <c r="A5061"/>
    </row>
    <row r="5062" spans="1:1" ht="15" x14ac:dyDescent="0.25">
      <c r="A5062"/>
    </row>
    <row r="5063" spans="1:1" ht="15" x14ac:dyDescent="0.25">
      <c r="A5063"/>
    </row>
    <row r="5064" spans="1:1" ht="15" x14ac:dyDescent="0.25">
      <c r="A5064"/>
    </row>
    <row r="5065" spans="1:1" ht="15" x14ac:dyDescent="0.25">
      <c r="A5065"/>
    </row>
    <row r="5066" spans="1:1" ht="15" x14ac:dyDescent="0.25">
      <c r="A5066"/>
    </row>
    <row r="5067" spans="1:1" ht="15" x14ac:dyDescent="0.25">
      <c r="A5067"/>
    </row>
    <row r="5068" spans="1:1" ht="15" x14ac:dyDescent="0.25">
      <c r="A5068"/>
    </row>
    <row r="5069" spans="1:1" ht="15" x14ac:dyDescent="0.25">
      <c r="A5069"/>
    </row>
    <row r="5070" spans="1:1" ht="15" x14ac:dyDescent="0.25">
      <c r="A5070"/>
    </row>
    <row r="5071" spans="1:1" ht="15" x14ac:dyDescent="0.25">
      <c r="A5071"/>
    </row>
    <row r="5072" spans="1:1" ht="15" x14ac:dyDescent="0.25">
      <c r="A5072"/>
    </row>
    <row r="5073" spans="1:1" ht="15" x14ac:dyDescent="0.25">
      <c r="A5073"/>
    </row>
    <row r="5074" spans="1:1" ht="15" x14ac:dyDescent="0.25">
      <c r="A5074"/>
    </row>
    <row r="5075" spans="1:1" ht="15" x14ac:dyDescent="0.25">
      <c r="A5075"/>
    </row>
    <row r="5076" spans="1:1" ht="15" x14ac:dyDescent="0.25">
      <c r="A5076"/>
    </row>
    <row r="5077" spans="1:1" ht="15" x14ac:dyDescent="0.25">
      <c r="A5077"/>
    </row>
    <row r="5078" spans="1:1" ht="15" x14ac:dyDescent="0.25">
      <c r="A5078"/>
    </row>
    <row r="5079" spans="1:1" ht="15" x14ac:dyDescent="0.25">
      <c r="A5079"/>
    </row>
    <row r="5080" spans="1:1" ht="15" x14ac:dyDescent="0.25">
      <c r="A5080"/>
    </row>
    <row r="5081" spans="1:1" ht="15" x14ac:dyDescent="0.25">
      <c r="A5081"/>
    </row>
    <row r="5082" spans="1:1" ht="15" x14ac:dyDescent="0.25">
      <c r="A5082"/>
    </row>
    <row r="5083" spans="1:1" ht="15" x14ac:dyDescent="0.25">
      <c r="A5083"/>
    </row>
    <row r="5084" spans="1:1" ht="15" x14ac:dyDescent="0.25">
      <c r="A5084"/>
    </row>
    <row r="5085" spans="1:1" ht="15" x14ac:dyDescent="0.25">
      <c r="A5085"/>
    </row>
    <row r="5086" spans="1:1" ht="15" x14ac:dyDescent="0.25">
      <c r="A5086"/>
    </row>
    <row r="5087" spans="1:1" ht="15" x14ac:dyDescent="0.25">
      <c r="A5087"/>
    </row>
    <row r="5088" spans="1:1" ht="15" x14ac:dyDescent="0.25">
      <c r="A5088"/>
    </row>
    <row r="5089" spans="1:1" ht="15" x14ac:dyDescent="0.25">
      <c r="A5089"/>
    </row>
    <row r="5090" spans="1:1" ht="15" x14ac:dyDescent="0.25">
      <c r="A5090"/>
    </row>
    <row r="5091" spans="1:1" ht="15" x14ac:dyDescent="0.25">
      <c r="A5091"/>
    </row>
    <row r="5092" spans="1:1" ht="15" x14ac:dyDescent="0.25">
      <c r="A5092"/>
    </row>
    <row r="5093" spans="1:1" ht="15" x14ac:dyDescent="0.25">
      <c r="A5093"/>
    </row>
    <row r="5094" spans="1:1" ht="15" x14ac:dyDescent="0.25">
      <c r="A5094"/>
    </row>
    <row r="5095" spans="1:1" ht="15" x14ac:dyDescent="0.25">
      <c r="A5095"/>
    </row>
    <row r="5096" spans="1:1" ht="15" x14ac:dyDescent="0.25">
      <c r="A5096"/>
    </row>
    <row r="5097" spans="1:1" ht="15" x14ac:dyDescent="0.25">
      <c r="A5097"/>
    </row>
    <row r="5098" spans="1:1" ht="15" x14ac:dyDescent="0.25">
      <c r="A5098"/>
    </row>
    <row r="5099" spans="1:1" ht="15" x14ac:dyDescent="0.25">
      <c r="A5099"/>
    </row>
    <row r="5100" spans="1:1" ht="15" x14ac:dyDescent="0.25">
      <c r="A5100"/>
    </row>
    <row r="5101" spans="1:1" ht="15" x14ac:dyDescent="0.25">
      <c r="A5101"/>
    </row>
    <row r="5102" spans="1:1" ht="15" x14ac:dyDescent="0.25">
      <c r="A5102"/>
    </row>
    <row r="5103" spans="1:1" ht="15" x14ac:dyDescent="0.25">
      <c r="A5103"/>
    </row>
    <row r="5104" spans="1:1" ht="15" x14ac:dyDescent="0.25">
      <c r="A5104"/>
    </row>
    <row r="5105" spans="1:1" ht="15" x14ac:dyDescent="0.25">
      <c r="A5105"/>
    </row>
    <row r="5106" spans="1:1" ht="15" x14ac:dyDescent="0.25">
      <c r="A5106"/>
    </row>
    <row r="5107" spans="1:1" ht="15" x14ac:dyDescent="0.25">
      <c r="A5107"/>
    </row>
    <row r="5108" spans="1:1" ht="15" x14ac:dyDescent="0.25">
      <c r="A5108"/>
    </row>
    <row r="5109" spans="1:1" ht="15" x14ac:dyDescent="0.25">
      <c r="A5109"/>
    </row>
    <row r="5110" spans="1:1" ht="15" x14ac:dyDescent="0.25">
      <c r="A5110"/>
    </row>
    <row r="5111" spans="1:1" ht="15" x14ac:dyDescent="0.25">
      <c r="A5111"/>
    </row>
    <row r="5112" spans="1:1" ht="15" x14ac:dyDescent="0.25">
      <c r="A5112"/>
    </row>
    <row r="5113" spans="1:1" ht="15" x14ac:dyDescent="0.25">
      <c r="A5113"/>
    </row>
    <row r="5114" spans="1:1" ht="15" x14ac:dyDescent="0.25">
      <c r="A5114"/>
    </row>
    <row r="5115" spans="1:1" ht="15" x14ac:dyDescent="0.25">
      <c r="A5115"/>
    </row>
    <row r="5116" spans="1:1" ht="15" x14ac:dyDescent="0.25">
      <c r="A5116"/>
    </row>
    <row r="5117" spans="1:1" ht="15" x14ac:dyDescent="0.25">
      <c r="A5117"/>
    </row>
    <row r="5118" spans="1:1" ht="15" x14ac:dyDescent="0.25">
      <c r="A5118"/>
    </row>
    <row r="5119" spans="1:1" ht="15" x14ac:dyDescent="0.25">
      <c r="A5119"/>
    </row>
    <row r="5120" spans="1:1" ht="15" x14ac:dyDescent="0.25">
      <c r="A5120"/>
    </row>
    <row r="5121" spans="1:1" ht="15" x14ac:dyDescent="0.25">
      <c r="A5121"/>
    </row>
    <row r="5122" spans="1:1" ht="15" x14ac:dyDescent="0.25">
      <c r="A5122"/>
    </row>
    <row r="5123" spans="1:1" ht="15" x14ac:dyDescent="0.25">
      <c r="A5123"/>
    </row>
    <row r="5124" spans="1:1" ht="15" x14ac:dyDescent="0.25">
      <c r="A5124"/>
    </row>
    <row r="5125" spans="1:1" ht="15" x14ac:dyDescent="0.25">
      <c r="A5125"/>
    </row>
    <row r="5126" spans="1:1" ht="15" x14ac:dyDescent="0.25">
      <c r="A5126"/>
    </row>
    <row r="5127" spans="1:1" ht="15" x14ac:dyDescent="0.25">
      <c r="A5127"/>
    </row>
    <row r="5128" spans="1:1" ht="15" x14ac:dyDescent="0.25">
      <c r="A5128"/>
    </row>
    <row r="5129" spans="1:1" ht="15" x14ac:dyDescent="0.25">
      <c r="A5129"/>
    </row>
    <row r="5130" spans="1:1" ht="15" x14ac:dyDescent="0.25">
      <c r="A5130"/>
    </row>
    <row r="5131" spans="1:1" ht="15" x14ac:dyDescent="0.25">
      <c r="A5131"/>
    </row>
    <row r="5132" spans="1:1" ht="15" x14ac:dyDescent="0.25">
      <c r="A5132"/>
    </row>
    <row r="5133" spans="1:1" ht="15" x14ac:dyDescent="0.25">
      <c r="A5133"/>
    </row>
    <row r="5134" spans="1:1" ht="15" x14ac:dyDescent="0.25">
      <c r="A5134"/>
    </row>
    <row r="5135" spans="1:1" ht="15" x14ac:dyDescent="0.25">
      <c r="A5135"/>
    </row>
    <row r="5136" spans="1:1" ht="15" x14ac:dyDescent="0.25">
      <c r="A5136"/>
    </row>
    <row r="5137" spans="1:1" ht="15" x14ac:dyDescent="0.25">
      <c r="A5137"/>
    </row>
    <row r="5138" spans="1:1" ht="15" x14ac:dyDescent="0.25">
      <c r="A5138"/>
    </row>
    <row r="5139" spans="1:1" ht="15" x14ac:dyDescent="0.25">
      <c r="A5139"/>
    </row>
    <row r="5140" spans="1:1" ht="15" x14ac:dyDescent="0.25">
      <c r="A5140"/>
    </row>
    <row r="5141" spans="1:1" ht="15" x14ac:dyDescent="0.25">
      <c r="A5141"/>
    </row>
    <row r="5142" spans="1:1" ht="15" x14ac:dyDescent="0.25">
      <c r="A5142"/>
    </row>
    <row r="5143" spans="1:1" ht="15" x14ac:dyDescent="0.25">
      <c r="A5143"/>
    </row>
    <row r="5144" spans="1:1" ht="15" x14ac:dyDescent="0.25">
      <c r="A5144"/>
    </row>
    <row r="5145" spans="1:1" ht="15" x14ac:dyDescent="0.25">
      <c r="A5145"/>
    </row>
    <row r="5146" spans="1:1" ht="15" x14ac:dyDescent="0.25">
      <c r="A5146"/>
    </row>
    <row r="5147" spans="1:1" ht="15" x14ac:dyDescent="0.25">
      <c r="A5147"/>
    </row>
    <row r="5148" spans="1:1" ht="15" x14ac:dyDescent="0.25">
      <c r="A5148"/>
    </row>
    <row r="5149" spans="1:1" ht="15" x14ac:dyDescent="0.25">
      <c r="A5149"/>
    </row>
    <row r="5150" spans="1:1" ht="15" x14ac:dyDescent="0.25">
      <c r="A5150"/>
    </row>
    <row r="5151" spans="1:1" ht="15" x14ac:dyDescent="0.25">
      <c r="A5151"/>
    </row>
    <row r="5152" spans="1:1" ht="15" x14ac:dyDescent="0.25">
      <c r="A5152"/>
    </row>
    <row r="5153" spans="1:1" ht="15" x14ac:dyDescent="0.25">
      <c r="A5153"/>
    </row>
    <row r="5154" spans="1:1" ht="15" x14ac:dyDescent="0.25">
      <c r="A5154"/>
    </row>
    <row r="5155" spans="1:1" ht="15" x14ac:dyDescent="0.25">
      <c r="A5155"/>
    </row>
    <row r="5156" spans="1:1" ht="15" x14ac:dyDescent="0.25">
      <c r="A5156"/>
    </row>
    <row r="5157" spans="1:1" ht="15" x14ac:dyDescent="0.25">
      <c r="A5157"/>
    </row>
    <row r="5158" spans="1:1" ht="15" x14ac:dyDescent="0.25">
      <c r="A5158"/>
    </row>
    <row r="5159" spans="1:1" ht="15" x14ac:dyDescent="0.25">
      <c r="A5159"/>
    </row>
    <row r="5160" spans="1:1" ht="15" x14ac:dyDescent="0.25">
      <c r="A5160"/>
    </row>
    <row r="5161" spans="1:1" ht="15" x14ac:dyDescent="0.25">
      <c r="A5161"/>
    </row>
    <row r="5162" spans="1:1" ht="15" x14ac:dyDescent="0.25">
      <c r="A5162"/>
    </row>
    <row r="5163" spans="1:1" ht="15" x14ac:dyDescent="0.25">
      <c r="A5163"/>
    </row>
    <row r="5164" spans="1:1" ht="15" x14ac:dyDescent="0.25">
      <c r="A5164"/>
    </row>
    <row r="5165" spans="1:1" ht="15" x14ac:dyDescent="0.25">
      <c r="A5165"/>
    </row>
    <row r="5166" spans="1:1" ht="15" x14ac:dyDescent="0.25">
      <c r="A5166"/>
    </row>
    <row r="5167" spans="1:1" ht="15" x14ac:dyDescent="0.25">
      <c r="A5167"/>
    </row>
    <row r="5168" spans="1:1" ht="15" x14ac:dyDescent="0.25">
      <c r="A5168"/>
    </row>
    <row r="5169" spans="1:1" ht="15" x14ac:dyDescent="0.25">
      <c r="A5169"/>
    </row>
    <row r="5170" spans="1:1" ht="15" x14ac:dyDescent="0.25">
      <c r="A5170"/>
    </row>
    <row r="5171" spans="1:1" ht="15" x14ac:dyDescent="0.25">
      <c r="A5171"/>
    </row>
    <row r="5172" spans="1:1" ht="15" x14ac:dyDescent="0.25">
      <c r="A5172"/>
    </row>
    <row r="5173" spans="1:1" ht="15" x14ac:dyDescent="0.25">
      <c r="A5173"/>
    </row>
    <row r="5174" spans="1:1" ht="15" x14ac:dyDescent="0.25">
      <c r="A5174"/>
    </row>
    <row r="5175" spans="1:1" ht="15" x14ac:dyDescent="0.25">
      <c r="A5175"/>
    </row>
    <row r="5176" spans="1:1" ht="15" x14ac:dyDescent="0.25">
      <c r="A5176"/>
    </row>
    <row r="5177" spans="1:1" ht="15" x14ac:dyDescent="0.25">
      <c r="A5177"/>
    </row>
    <row r="5178" spans="1:1" ht="15" x14ac:dyDescent="0.25">
      <c r="A5178"/>
    </row>
    <row r="5179" spans="1:1" ht="15" x14ac:dyDescent="0.25">
      <c r="A5179"/>
    </row>
    <row r="5180" spans="1:1" ht="15" x14ac:dyDescent="0.25">
      <c r="A5180"/>
    </row>
    <row r="5181" spans="1:1" ht="15" x14ac:dyDescent="0.25">
      <c r="A5181"/>
    </row>
    <row r="5182" spans="1:1" ht="15" x14ac:dyDescent="0.25">
      <c r="A5182"/>
    </row>
    <row r="5183" spans="1:1" ht="15" x14ac:dyDescent="0.25">
      <c r="A5183"/>
    </row>
    <row r="5184" spans="1:1" ht="15" x14ac:dyDescent="0.25">
      <c r="A5184"/>
    </row>
    <row r="5185" spans="1:1" ht="15" x14ac:dyDescent="0.25">
      <c r="A5185"/>
    </row>
    <row r="5186" spans="1:1" ht="15" x14ac:dyDescent="0.25">
      <c r="A5186"/>
    </row>
    <row r="5187" spans="1:1" ht="15" x14ac:dyDescent="0.25">
      <c r="A5187"/>
    </row>
    <row r="5188" spans="1:1" ht="15" x14ac:dyDescent="0.25">
      <c r="A5188"/>
    </row>
    <row r="5189" spans="1:1" ht="15" x14ac:dyDescent="0.25">
      <c r="A5189"/>
    </row>
    <row r="5190" spans="1:1" ht="15" x14ac:dyDescent="0.25">
      <c r="A5190"/>
    </row>
    <row r="5191" spans="1:1" ht="15" x14ac:dyDescent="0.25">
      <c r="A5191"/>
    </row>
    <row r="5192" spans="1:1" ht="15" x14ac:dyDescent="0.25">
      <c r="A5192"/>
    </row>
    <row r="5193" spans="1:1" ht="15" x14ac:dyDescent="0.25">
      <c r="A5193"/>
    </row>
    <row r="5194" spans="1:1" ht="15" x14ac:dyDescent="0.25">
      <c r="A5194"/>
    </row>
    <row r="5195" spans="1:1" ht="15" x14ac:dyDescent="0.25">
      <c r="A5195"/>
    </row>
    <row r="5196" spans="1:1" ht="15" x14ac:dyDescent="0.25">
      <c r="A5196"/>
    </row>
    <row r="5197" spans="1:1" ht="15" x14ac:dyDescent="0.25">
      <c r="A5197"/>
    </row>
    <row r="5198" spans="1:1" ht="15" x14ac:dyDescent="0.25">
      <c r="A5198"/>
    </row>
    <row r="5199" spans="1:1" ht="15" x14ac:dyDescent="0.25">
      <c r="A5199"/>
    </row>
    <row r="5200" spans="1:1" ht="15" x14ac:dyDescent="0.25">
      <c r="A5200"/>
    </row>
    <row r="5201" spans="1:1" ht="15" x14ac:dyDescent="0.25">
      <c r="A5201"/>
    </row>
    <row r="5202" spans="1:1" ht="15" x14ac:dyDescent="0.25">
      <c r="A5202"/>
    </row>
    <row r="5203" spans="1:1" ht="15" x14ac:dyDescent="0.25">
      <c r="A5203"/>
    </row>
    <row r="5204" spans="1:1" ht="15" x14ac:dyDescent="0.25">
      <c r="A5204"/>
    </row>
    <row r="5205" spans="1:1" ht="15" x14ac:dyDescent="0.25">
      <c r="A5205"/>
    </row>
    <row r="5206" spans="1:1" ht="15" x14ac:dyDescent="0.25">
      <c r="A5206"/>
    </row>
    <row r="5207" spans="1:1" ht="15" x14ac:dyDescent="0.25">
      <c r="A5207"/>
    </row>
    <row r="5208" spans="1:1" ht="15" x14ac:dyDescent="0.25">
      <c r="A5208"/>
    </row>
    <row r="5209" spans="1:1" ht="15" x14ac:dyDescent="0.25">
      <c r="A5209"/>
    </row>
    <row r="5210" spans="1:1" ht="15" x14ac:dyDescent="0.25">
      <c r="A5210"/>
    </row>
    <row r="5211" spans="1:1" ht="15" x14ac:dyDescent="0.25">
      <c r="A5211"/>
    </row>
    <row r="5212" spans="1:1" ht="15" x14ac:dyDescent="0.25">
      <c r="A5212"/>
    </row>
    <row r="5213" spans="1:1" ht="15" x14ac:dyDescent="0.25">
      <c r="A5213"/>
    </row>
    <row r="5214" spans="1:1" ht="15" x14ac:dyDescent="0.25">
      <c r="A5214"/>
    </row>
    <row r="5215" spans="1:1" ht="15" x14ac:dyDescent="0.25">
      <c r="A5215"/>
    </row>
    <row r="5216" spans="1:1" ht="15" x14ac:dyDescent="0.25">
      <c r="A5216"/>
    </row>
    <row r="5217" spans="1:1" ht="15" x14ac:dyDescent="0.25">
      <c r="A5217"/>
    </row>
    <row r="5218" spans="1:1" ht="15" x14ac:dyDescent="0.25">
      <c r="A5218"/>
    </row>
    <row r="5219" spans="1:1" ht="15" x14ac:dyDescent="0.25">
      <c r="A5219"/>
    </row>
    <row r="5220" spans="1:1" ht="15" x14ac:dyDescent="0.25">
      <c r="A5220"/>
    </row>
    <row r="5221" spans="1:1" ht="15" x14ac:dyDescent="0.25">
      <c r="A5221"/>
    </row>
    <row r="5222" spans="1:1" ht="15" x14ac:dyDescent="0.25">
      <c r="A5222"/>
    </row>
    <row r="5223" spans="1:1" ht="15" x14ac:dyDescent="0.25">
      <c r="A5223"/>
    </row>
    <row r="5224" spans="1:1" ht="15" x14ac:dyDescent="0.25">
      <c r="A5224"/>
    </row>
    <row r="5225" spans="1:1" ht="15" x14ac:dyDescent="0.25">
      <c r="A5225"/>
    </row>
    <row r="5226" spans="1:1" ht="15" x14ac:dyDescent="0.25">
      <c r="A5226"/>
    </row>
    <row r="5227" spans="1:1" ht="15" x14ac:dyDescent="0.25">
      <c r="A5227"/>
    </row>
    <row r="5228" spans="1:1" ht="15" x14ac:dyDescent="0.25">
      <c r="A5228"/>
    </row>
    <row r="5229" spans="1:1" ht="15" x14ac:dyDescent="0.25">
      <c r="A5229"/>
    </row>
    <row r="5230" spans="1:1" ht="15" x14ac:dyDescent="0.25">
      <c r="A5230"/>
    </row>
    <row r="5231" spans="1:1" ht="15" x14ac:dyDescent="0.25">
      <c r="A5231"/>
    </row>
    <row r="5232" spans="1:1" ht="15" x14ac:dyDescent="0.25">
      <c r="A5232"/>
    </row>
    <row r="5233" spans="1:1" ht="15" x14ac:dyDescent="0.25">
      <c r="A5233"/>
    </row>
    <row r="5234" spans="1:1" ht="15" x14ac:dyDescent="0.25">
      <c r="A5234"/>
    </row>
    <row r="5235" spans="1:1" ht="15" x14ac:dyDescent="0.25">
      <c r="A5235"/>
    </row>
    <row r="5236" spans="1:1" ht="15" x14ac:dyDescent="0.25">
      <c r="A5236"/>
    </row>
    <row r="5237" spans="1:1" ht="15" x14ac:dyDescent="0.25">
      <c r="A5237"/>
    </row>
    <row r="5238" spans="1:1" ht="15" x14ac:dyDescent="0.25">
      <c r="A5238"/>
    </row>
    <row r="5239" spans="1:1" ht="15" x14ac:dyDescent="0.25">
      <c r="A5239"/>
    </row>
    <row r="5240" spans="1:1" ht="15" x14ac:dyDescent="0.25">
      <c r="A5240"/>
    </row>
    <row r="5241" spans="1:1" ht="15" x14ac:dyDescent="0.25">
      <c r="A5241"/>
    </row>
    <row r="5242" spans="1:1" ht="15" x14ac:dyDescent="0.25">
      <c r="A5242"/>
    </row>
    <row r="5243" spans="1:1" ht="15" x14ac:dyDescent="0.25">
      <c r="A5243"/>
    </row>
    <row r="5244" spans="1:1" ht="15" x14ac:dyDescent="0.25">
      <c r="A5244"/>
    </row>
    <row r="5245" spans="1:1" ht="15" x14ac:dyDescent="0.25">
      <c r="A5245"/>
    </row>
    <row r="5246" spans="1:1" ht="15" x14ac:dyDescent="0.25">
      <c r="A5246"/>
    </row>
    <row r="5247" spans="1:1" ht="15" x14ac:dyDescent="0.25">
      <c r="A5247"/>
    </row>
    <row r="5248" spans="1:1" ht="15" x14ac:dyDescent="0.25">
      <c r="A5248"/>
    </row>
    <row r="5249" spans="1:1" ht="15" x14ac:dyDescent="0.25">
      <c r="A5249"/>
    </row>
    <row r="5250" spans="1:1" ht="15" x14ac:dyDescent="0.25">
      <c r="A5250"/>
    </row>
    <row r="5251" spans="1:1" ht="15" x14ac:dyDescent="0.25">
      <c r="A5251"/>
    </row>
    <row r="5252" spans="1:1" ht="15" x14ac:dyDescent="0.25">
      <c r="A5252"/>
    </row>
    <row r="5253" spans="1:1" ht="15" x14ac:dyDescent="0.25">
      <c r="A5253"/>
    </row>
    <row r="5254" spans="1:1" ht="15" x14ac:dyDescent="0.25">
      <c r="A5254"/>
    </row>
    <row r="5255" spans="1:1" ht="15" x14ac:dyDescent="0.25">
      <c r="A5255"/>
    </row>
    <row r="5256" spans="1:1" ht="15" x14ac:dyDescent="0.25">
      <c r="A5256"/>
    </row>
    <row r="5257" spans="1:1" ht="15" x14ac:dyDescent="0.25">
      <c r="A5257"/>
    </row>
    <row r="5258" spans="1:1" ht="15" x14ac:dyDescent="0.25">
      <c r="A5258"/>
    </row>
    <row r="5259" spans="1:1" ht="15" x14ac:dyDescent="0.25">
      <c r="A5259"/>
    </row>
    <row r="5260" spans="1:1" ht="15" x14ac:dyDescent="0.25">
      <c r="A5260"/>
    </row>
    <row r="5261" spans="1:1" ht="15" x14ac:dyDescent="0.25">
      <c r="A5261"/>
    </row>
    <row r="5262" spans="1:1" ht="15" x14ac:dyDescent="0.25">
      <c r="A5262"/>
    </row>
    <row r="5263" spans="1:1" ht="15" x14ac:dyDescent="0.25">
      <c r="A5263"/>
    </row>
    <row r="5264" spans="1:1" ht="15" x14ac:dyDescent="0.25">
      <c r="A5264"/>
    </row>
    <row r="5265" spans="1:1" ht="15" x14ac:dyDescent="0.25">
      <c r="A5265"/>
    </row>
    <row r="5266" spans="1:1" ht="15" x14ac:dyDescent="0.25">
      <c r="A5266"/>
    </row>
    <row r="5267" spans="1:1" ht="15" x14ac:dyDescent="0.25">
      <c r="A5267"/>
    </row>
    <row r="5268" spans="1:1" ht="15" x14ac:dyDescent="0.25">
      <c r="A5268"/>
    </row>
    <row r="5269" spans="1:1" ht="15" x14ac:dyDescent="0.25">
      <c r="A5269"/>
    </row>
    <row r="5270" spans="1:1" ht="15" x14ac:dyDescent="0.25">
      <c r="A5270"/>
    </row>
    <row r="5271" spans="1:1" ht="15" x14ac:dyDescent="0.25">
      <c r="A5271"/>
    </row>
    <row r="5272" spans="1:1" ht="15" x14ac:dyDescent="0.25">
      <c r="A5272"/>
    </row>
    <row r="5273" spans="1:1" ht="15" x14ac:dyDescent="0.25">
      <c r="A5273"/>
    </row>
    <row r="5274" spans="1:1" ht="15" x14ac:dyDescent="0.25">
      <c r="A5274"/>
    </row>
    <row r="5275" spans="1:1" ht="15" x14ac:dyDescent="0.25">
      <c r="A5275"/>
    </row>
    <row r="5276" spans="1:1" ht="15" x14ac:dyDescent="0.25">
      <c r="A5276"/>
    </row>
    <row r="5277" spans="1:1" ht="15" x14ac:dyDescent="0.25">
      <c r="A5277"/>
    </row>
    <row r="5278" spans="1:1" ht="15" x14ac:dyDescent="0.25">
      <c r="A5278"/>
    </row>
    <row r="5279" spans="1:1" ht="15" x14ac:dyDescent="0.25">
      <c r="A5279"/>
    </row>
    <row r="5280" spans="1:1" ht="15" x14ac:dyDescent="0.25">
      <c r="A5280"/>
    </row>
    <row r="5281" spans="1:1" ht="15" x14ac:dyDescent="0.25">
      <c r="A5281"/>
    </row>
    <row r="5282" spans="1:1" ht="15" x14ac:dyDescent="0.25">
      <c r="A5282"/>
    </row>
    <row r="5283" spans="1:1" ht="15" x14ac:dyDescent="0.25">
      <c r="A5283"/>
    </row>
    <row r="5284" spans="1:1" ht="15" x14ac:dyDescent="0.25">
      <c r="A5284"/>
    </row>
    <row r="5285" spans="1:1" ht="15" x14ac:dyDescent="0.25">
      <c r="A5285"/>
    </row>
    <row r="5286" spans="1:1" ht="15" x14ac:dyDescent="0.25">
      <c r="A5286"/>
    </row>
    <row r="5287" spans="1:1" ht="15" x14ac:dyDescent="0.25">
      <c r="A5287"/>
    </row>
    <row r="5288" spans="1:1" ht="15" x14ac:dyDescent="0.25">
      <c r="A5288"/>
    </row>
    <row r="5289" spans="1:1" ht="15" x14ac:dyDescent="0.25">
      <c r="A5289"/>
    </row>
    <row r="5290" spans="1:1" ht="15" x14ac:dyDescent="0.25">
      <c r="A5290"/>
    </row>
    <row r="5291" spans="1:1" ht="15" x14ac:dyDescent="0.25">
      <c r="A5291"/>
    </row>
    <row r="5292" spans="1:1" ht="15" x14ac:dyDescent="0.25">
      <c r="A5292"/>
    </row>
    <row r="5293" spans="1:1" ht="15" x14ac:dyDescent="0.25">
      <c r="A5293"/>
    </row>
    <row r="5294" spans="1:1" ht="15" x14ac:dyDescent="0.25">
      <c r="A5294"/>
    </row>
    <row r="5295" spans="1:1" ht="15" x14ac:dyDescent="0.25">
      <c r="A5295"/>
    </row>
    <row r="5296" spans="1:1" ht="15" x14ac:dyDescent="0.25">
      <c r="A5296"/>
    </row>
    <row r="5297" spans="1:1" ht="15" x14ac:dyDescent="0.25">
      <c r="A5297"/>
    </row>
    <row r="5298" spans="1:1" ht="15" x14ac:dyDescent="0.25">
      <c r="A5298"/>
    </row>
    <row r="5299" spans="1:1" ht="15" x14ac:dyDescent="0.25">
      <c r="A5299"/>
    </row>
    <row r="5300" spans="1:1" ht="15" x14ac:dyDescent="0.25">
      <c r="A5300"/>
    </row>
    <row r="5301" spans="1:1" ht="15" x14ac:dyDescent="0.25">
      <c r="A5301"/>
    </row>
    <row r="5302" spans="1:1" ht="15" x14ac:dyDescent="0.25">
      <c r="A5302"/>
    </row>
    <row r="5303" spans="1:1" ht="15" x14ac:dyDescent="0.25">
      <c r="A5303"/>
    </row>
    <row r="5304" spans="1:1" ht="15" x14ac:dyDescent="0.25">
      <c r="A5304"/>
    </row>
    <row r="5305" spans="1:1" ht="15" x14ac:dyDescent="0.25">
      <c r="A5305"/>
    </row>
    <row r="5306" spans="1:1" ht="15" x14ac:dyDescent="0.25">
      <c r="A5306"/>
    </row>
    <row r="5307" spans="1:1" ht="15" x14ac:dyDescent="0.25">
      <c r="A5307"/>
    </row>
    <row r="5308" spans="1:1" ht="15" x14ac:dyDescent="0.25">
      <c r="A5308"/>
    </row>
    <row r="5309" spans="1:1" ht="15" x14ac:dyDescent="0.25">
      <c r="A5309"/>
    </row>
    <row r="5310" spans="1:1" ht="15" x14ac:dyDescent="0.25">
      <c r="A5310"/>
    </row>
    <row r="5311" spans="1:1" ht="15" x14ac:dyDescent="0.25">
      <c r="A5311"/>
    </row>
    <row r="5312" spans="1:1" ht="15" x14ac:dyDescent="0.25">
      <c r="A5312"/>
    </row>
    <row r="5313" spans="1:1" ht="15" x14ac:dyDescent="0.25">
      <c r="A5313"/>
    </row>
    <row r="5314" spans="1:1" ht="15" x14ac:dyDescent="0.25">
      <c r="A5314"/>
    </row>
    <row r="5315" spans="1:1" ht="15" x14ac:dyDescent="0.25">
      <c r="A5315"/>
    </row>
    <row r="5316" spans="1:1" ht="15" x14ac:dyDescent="0.25">
      <c r="A5316"/>
    </row>
    <row r="5317" spans="1:1" ht="15" x14ac:dyDescent="0.25">
      <c r="A5317"/>
    </row>
    <row r="5318" spans="1:1" ht="15" x14ac:dyDescent="0.25">
      <c r="A5318"/>
    </row>
    <row r="5319" spans="1:1" ht="15" x14ac:dyDescent="0.25">
      <c r="A5319"/>
    </row>
    <row r="5320" spans="1:1" ht="15" x14ac:dyDescent="0.25">
      <c r="A5320"/>
    </row>
    <row r="5321" spans="1:1" ht="15" x14ac:dyDescent="0.25">
      <c r="A5321"/>
    </row>
    <row r="5322" spans="1:1" ht="15" x14ac:dyDescent="0.25">
      <c r="A5322"/>
    </row>
    <row r="5323" spans="1:1" ht="15" x14ac:dyDescent="0.25">
      <c r="A5323"/>
    </row>
    <row r="5324" spans="1:1" ht="15" x14ac:dyDescent="0.25">
      <c r="A5324"/>
    </row>
    <row r="5325" spans="1:1" ht="15" x14ac:dyDescent="0.25">
      <c r="A5325"/>
    </row>
    <row r="5326" spans="1:1" ht="15" x14ac:dyDescent="0.25">
      <c r="A5326"/>
    </row>
    <row r="5327" spans="1:1" ht="15" x14ac:dyDescent="0.25">
      <c r="A5327"/>
    </row>
    <row r="5328" spans="1:1" ht="15" x14ac:dyDescent="0.25">
      <c r="A5328"/>
    </row>
    <row r="5329" spans="1:1" ht="15" x14ac:dyDescent="0.25">
      <c r="A5329"/>
    </row>
    <row r="5330" spans="1:1" ht="15" x14ac:dyDescent="0.25">
      <c r="A5330"/>
    </row>
    <row r="5331" spans="1:1" ht="15" x14ac:dyDescent="0.25">
      <c r="A5331"/>
    </row>
    <row r="5332" spans="1:1" ht="15" x14ac:dyDescent="0.25">
      <c r="A5332"/>
    </row>
    <row r="5333" spans="1:1" ht="15" x14ac:dyDescent="0.25">
      <c r="A5333"/>
    </row>
    <row r="5334" spans="1:1" ht="15" x14ac:dyDescent="0.25">
      <c r="A5334"/>
    </row>
    <row r="5335" spans="1:1" ht="15" x14ac:dyDescent="0.25">
      <c r="A5335"/>
    </row>
    <row r="5336" spans="1:1" ht="15" x14ac:dyDescent="0.25">
      <c r="A5336"/>
    </row>
    <row r="5337" spans="1:1" ht="15" x14ac:dyDescent="0.25">
      <c r="A5337"/>
    </row>
    <row r="5338" spans="1:1" ht="15" x14ac:dyDescent="0.25">
      <c r="A5338"/>
    </row>
    <row r="5339" spans="1:1" ht="15" x14ac:dyDescent="0.25">
      <c r="A5339"/>
    </row>
    <row r="5340" spans="1:1" ht="15" x14ac:dyDescent="0.25">
      <c r="A5340"/>
    </row>
    <row r="5341" spans="1:1" ht="15" x14ac:dyDescent="0.25">
      <c r="A5341"/>
    </row>
    <row r="5342" spans="1:1" ht="15" x14ac:dyDescent="0.25">
      <c r="A5342"/>
    </row>
    <row r="5343" spans="1:1" ht="15" x14ac:dyDescent="0.25">
      <c r="A5343"/>
    </row>
    <row r="5344" spans="1:1" ht="15" x14ac:dyDescent="0.25">
      <c r="A5344"/>
    </row>
    <row r="5345" spans="1:1" ht="15" x14ac:dyDescent="0.25">
      <c r="A5345"/>
    </row>
    <row r="5346" spans="1:1" ht="15" x14ac:dyDescent="0.25">
      <c r="A5346"/>
    </row>
    <row r="5347" spans="1:1" ht="15" x14ac:dyDescent="0.25">
      <c r="A5347"/>
    </row>
    <row r="5348" spans="1:1" ht="15" x14ac:dyDescent="0.25">
      <c r="A5348"/>
    </row>
    <row r="5349" spans="1:1" ht="15" x14ac:dyDescent="0.25">
      <c r="A5349"/>
    </row>
    <row r="5350" spans="1:1" ht="15" x14ac:dyDescent="0.25">
      <c r="A5350"/>
    </row>
    <row r="5351" spans="1:1" ht="15" x14ac:dyDescent="0.25">
      <c r="A5351"/>
    </row>
    <row r="5352" spans="1:1" ht="15" x14ac:dyDescent="0.25">
      <c r="A5352"/>
    </row>
    <row r="5353" spans="1:1" ht="15" x14ac:dyDescent="0.25">
      <c r="A5353"/>
    </row>
    <row r="5354" spans="1:1" ht="15" x14ac:dyDescent="0.25">
      <c r="A5354"/>
    </row>
    <row r="5355" spans="1:1" ht="15" x14ac:dyDescent="0.25">
      <c r="A5355"/>
    </row>
    <row r="5356" spans="1:1" ht="15" x14ac:dyDescent="0.25">
      <c r="A5356"/>
    </row>
    <row r="5357" spans="1:1" ht="15" x14ac:dyDescent="0.25">
      <c r="A5357"/>
    </row>
    <row r="5358" spans="1:1" ht="15" x14ac:dyDescent="0.25">
      <c r="A5358"/>
    </row>
    <row r="5359" spans="1:1" ht="15" x14ac:dyDescent="0.25">
      <c r="A5359"/>
    </row>
    <row r="5360" spans="1:1" ht="15" x14ac:dyDescent="0.25">
      <c r="A5360"/>
    </row>
    <row r="5361" spans="1:1" ht="15" x14ac:dyDescent="0.25">
      <c r="A5361"/>
    </row>
    <row r="5362" spans="1:1" ht="15" x14ac:dyDescent="0.25">
      <c r="A5362"/>
    </row>
    <row r="5363" spans="1:1" ht="15" x14ac:dyDescent="0.25">
      <c r="A5363"/>
    </row>
    <row r="5364" spans="1:1" ht="15" x14ac:dyDescent="0.25">
      <c r="A5364"/>
    </row>
    <row r="5365" spans="1:1" ht="15" x14ac:dyDescent="0.25">
      <c r="A5365"/>
    </row>
    <row r="5366" spans="1:1" ht="15" x14ac:dyDescent="0.25">
      <c r="A5366"/>
    </row>
    <row r="5367" spans="1:1" ht="15" x14ac:dyDescent="0.25">
      <c r="A5367"/>
    </row>
    <row r="5368" spans="1:1" ht="15" x14ac:dyDescent="0.25">
      <c r="A5368"/>
    </row>
    <row r="5369" spans="1:1" ht="15" x14ac:dyDescent="0.25">
      <c r="A5369"/>
    </row>
    <row r="5370" spans="1:1" ht="15" x14ac:dyDescent="0.25">
      <c r="A5370"/>
    </row>
    <row r="5371" spans="1:1" ht="15" x14ac:dyDescent="0.25">
      <c r="A5371"/>
    </row>
    <row r="5372" spans="1:1" ht="15" x14ac:dyDescent="0.25">
      <c r="A5372"/>
    </row>
    <row r="5373" spans="1:1" ht="15" x14ac:dyDescent="0.25">
      <c r="A5373"/>
    </row>
    <row r="5374" spans="1:1" ht="15" x14ac:dyDescent="0.25">
      <c r="A5374"/>
    </row>
    <row r="5375" spans="1:1" ht="15" x14ac:dyDescent="0.25">
      <c r="A5375"/>
    </row>
    <row r="5376" spans="1:1" ht="15" x14ac:dyDescent="0.25">
      <c r="A5376"/>
    </row>
    <row r="5377" spans="1:1" ht="15" x14ac:dyDescent="0.25">
      <c r="A5377"/>
    </row>
    <row r="5378" spans="1:1" ht="15" x14ac:dyDescent="0.25">
      <c r="A5378"/>
    </row>
    <row r="5379" spans="1:1" ht="15" x14ac:dyDescent="0.25">
      <c r="A5379"/>
    </row>
    <row r="5380" spans="1:1" ht="15" x14ac:dyDescent="0.25">
      <c r="A5380"/>
    </row>
    <row r="5381" spans="1:1" ht="15" x14ac:dyDescent="0.25">
      <c r="A5381"/>
    </row>
    <row r="5382" spans="1:1" ht="15" x14ac:dyDescent="0.25">
      <c r="A5382"/>
    </row>
    <row r="5383" spans="1:1" ht="15" x14ac:dyDescent="0.25">
      <c r="A5383"/>
    </row>
    <row r="5384" spans="1:1" ht="15" x14ac:dyDescent="0.25">
      <c r="A5384"/>
    </row>
    <row r="5385" spans="1:1" ht="15" x14ac:dyDescent="0.25">
      <c r="A5385"/>
    </row>
    <row r="5386" spans="1:1" ht="15" x14ac:dyDescent="0.25">
      <c r="A5386"/>
    </row>
    <row r="5387" spans="1:1" ht="15" x14ac:dyDescent="0.25">
      <c r="A5387"/>
    </row>
    <row r="5388" spans="1:1" ht="15" x14ac:dyDescent="0.25">
      <c r="A5388"/>
    </row>
    <row r="5389" spans="1:1" ht="15" x14ac:dyDescent="0.25">
      <c r="A5389"/>
    </row>
    <row r="5390" spans="1:1" ht="15" x14ac:dyDescent="0.25">
      <c r="A5390"/>
    </row>
    <row r="5391" spans="1:1" ht="15" x14ac:dyDescent="0.25">
      <c r="A5391"/>
    </row>
    <row r="5392" spans="1:1" ht="15" x14ac:dyDescent="0.25">
      <c r="A5392"/>
    </row>
    <row r="5393" spans="1:1" ht="15" x14ac:dyDescent="0.25">
      <c r="A5393"/>
    </row>
    <row r="5394" spans="1:1" ht="15" x14ac:dyDescent="0.25">
      <c r="A5394"/>
    </row>
    <row r="5395" spans="1:1" ht="15" x14ac:dyDescent="0.25">
      <c r="A5395"/>
    </row>
    <row r="5396" spans="1:1" ht="15" x14ac:dyDescent="0.25">
      <c r="A5396"/>
    </row>
    <row r="5397" spans="1:1" ht="15" x14ac:dyDescent="0.25">
      <c r="A5397"/>
    </row>
    <row r="5398" spans="1:1" ht="15" x14ac:dyDescent="0.25">
      <c r="A5398"/>
    </row>
    <row r="5399" spans="1:1" ht="15" x14ac:dyDescent="0.25">
      <c r="A5399"/>
    </row>
    <row r="5400" spans="1:1" ht="15" x14ac:dyDescent="0.25">
      <c r="A5400"/>
    </row>
    <row r="5401" spans="1:1" ht="15" x14ac:dyDescent="0.25">
      <c r="A5401"/>
    </row>
    <row r="5402" spans="1:1" ht="15" x14ac:dyDescent="0.25">
      <c r="A5402"/>
    </row>
    <row r="5403" spans="1:1" ht="15" x14ac:dyDescent="0.25">
      <c r="A5403"/>
    </row>
    <row r="5404" spans="1:1" ht="15" x14ac:dyDescent="0.25">
      <c r="A5404"/>
    </row>
    <row r="5405" spans="1:1" ht="15" x14ac:dyDescent="0.25">
      <c r="A5405"/>
    </row>
    <row r="5406" spans="1:1" ht="15" x14ac:dyDescent="0.25">
      <c r="A5406"/>
    </row>
    <row r="5407" spans="1:1" ht="15" x14ac:dyDescent="0.25">
      <c r="A5407"/>
    </row>
    <row r="5408" spans="1:1" ht="15" x14ac:dyDescent="0.25">
      <c r="A5408"/>
    </row>
    <row r="5409" spans="1:1" ht="15" x14ac:dyDescent="0.25">
      <c r="A5409"/>
    </row>
    <row r="5410" spans="1:1" ht="15" x14ac:dyDescent="0.25">
      <c r="A5410"/>
    </row>
    <row r="5411" spans="1:1" ht="15" x14ac:dyDescent="0.25">
      <c r="A5411"/>
    </row>
    <row r="5412" spans="1:1" ht="15" x14ac:dyDescent="0.25">
      <c r="A5412"/>
    </row>
    <row r="5413" spans="1:1" ht="15" x14ac:dyDescent="0.25">
      <c r="A5413"/>
    </row>
    <row r="5414" spans="1:1" ht="15" x14ac:dyDescent="0.25">
      <c r="A5414"/>
    </row>
    <row r="5415" spans="1:1" ht="15" x14ac:dyDescent="0.25">
      <c r="A5415"/>
    </row>
    <row r="5416" spans="1:1" ht="15" x14ac:dyDescent="0.25">
      <c r="A5416"/>
    </row>
    <row r="5417" spans="1:1" ht="15" x14ac:dyDescent="0.25">
      <c r="A5417"/>
    </row>
    <row r="5418" spans="1:1" ht="15" x14ac:dyDescent="0.25">
      <c r="A5418"/>
    </row>
    <row r="5419" spans="1:1" ht="15" x14ac:dyDescent="0.25">
      <c r="A5419"/>
    </row>
    <row r="5420" spans="1:1" ht="15" x14ac:dyDescent="0.25">
      <c r="A5420"/>
    </row>
    <row r="5421" spans="1:1" ht="15" x14ac:dyDescent="0.25">
      <c r="A5421"/>
    </row>
    <row r="5422" spans="1:1" ht="15" x14ac:dyDescent="0.25">
      <c r="A5422"/>
    </row>
    <row r="5423" spans="1:1" ht="15" x14ac:dyDescent="0.25">
      <c r="A5423"/>
    </row>
    <row r="5424" spans="1:1" ht="15" x14ac:dyDescent="0.25">
      <c r="A5424"/>
    </row>
    <row r="5425" spans="1:1" ht="15" x14ac:dyDescent="0.25">
      <c r="A5425"/>
    </row>
    <row r="5426" spans="1:1" ht="15" x14ac:dyDescent="0.25">
      <c r="A5426"/>
    </row>
    <row r="5427" spans="1:1" ht="15" x14ac:dyDescent="0.25">
      <c r="A5427"/>
    </row>
    <row r="5428" spans="1:1" ht="15" x14ac:dyDescent="0.25">
      <c r="A5428"/>
    </row>
    <row r="5429" spans="1:1" ht="15" x14ac:dyDescent="0.25">
      <c r="A5429"/>
    </row>
    <row r="5430" spans="1:1" ht="15" x14ac:dyDescent="0.25">
      <c r="A5430"/>
    </row>
    <row r="5431" spans="1:1" ht="15" x14ac:dyDescent="0.25">
      <c r="A5431"/>
    </row>
    <row r="5432" spans="1:1" ht="15" x14ac:dyDescent="0.25">
      <c r="A5432"/>
    </row>
    <row r="5433" spans="1:1" ht="15" x14ac:dyDescent="0.25">
      <c r="A5433"/>
    </row>
    <row r="5434" spans="1:1" ht="15" x14ac:dyDescent="0.25">
      <c r="A5434"/>
    </row>
    <row r="5435" spans="1:1" ht="15" x14ac:dyDescent="0.25">
      <c r="A5435"/>
    </row>
    <row r="5436" spans="1:1" ht="15" x14ac:dyDescent="0.25">
      <c r="A5436"/>
    </row>
    <row r="5437" spans="1:1" ht="15" x14ac:dyDescent="0.25">
      <c r="A5437"/>
    </row>
    <row r="5438" spans="1:1" ht="15" x14ac:dyDescent="0.25">
      <c r="A5438"/>
    </row>
    <row r="5439" spans="1:1" ht="15" x14ac:dyDescent="0.25">
      <c r="A5439"/>
    </row>
    <row r="5440" spans="1:1" ht="15" x14ac:dyDescent="0.25">
      <c r="A5440"/>
    </row>
    <row r="5441" spans="1:1" ht="15" x14ac:dyDescent="0.25">
      <c r="A5441"/>
    </row>
    <row r="5442" spans="1:1" ht="15" x14ac:dyDescent="0.25">
      <c r="A5442"/>
    </row>
    <row r="5443" spans="1:1" ht="15" x14ac:dyDescent="0.25">
      <c r="A5443"/>
    </row>
    <row r="5444" spans="1:1" ht="15" x14ac:dyDescent="0.25">
      <c r="A5444"/>
    </row>
    <row r="5445" spans="1:1" ht="15" x14ac:dyDescent="0.25">
      <c r="A5445"/>
    </row>
    <row r="5446" spans="1:1" ht="15" x14ac:dyDescent="0.25">
      <c r="A5446"/>
    </row>
    <row r="5447" spans="1:1" ht="15" x14ac:dyDescent="0.25">
      <c r="A5447"/>
    </row>
    <row r="5448" spans="1:1" ht="15" x14ac:dyDescent="0.25">
      <c r="A5448"/>
    </row>
    <row r="5449" spans="1:1" ht="15" x14ac:dyDescent="0.25">
      <c r="A5449"/>
    </row>
    <row r="5450" spans="1:1" ht="15" x14ac:dyDescent="0.25">
      <c r="A5450"/>
    </row>
    <row r="5451" spans="1:1" ht="15" x14ac:dyDescent="0.25">
      <c r="A5451"/>
    </row>
    <row r="5452" spans="1:1" ht="15" x14ac:dyDescent="0.25">
      <c r="A5452"/>
    </row>
    <row r="5453" spans="1:1" ht="15" x14ac:dyDescent="0.25">
      <c r="A5453"/>
    </row>
    <row r="5454" spans="1:1" ht="15" x14ac:dyDescent="0.25">
      <c r="A5454"/>
    </row>
    <row r="5455" spans="1:1" ht="15" x14ac:dyDescent="0.25">
      <c r="A5455"/>
    </row>
    <row r="5456" spans="1:1" ht="15" x14ac:dyDescent="0.25">
      <c r="A5456"/>
    </row>
    <row r="5457" spans="1:1" ht="15" x14ac:dyDescent="0.25">
      <c r="A5457"/>
    </row>
    <row r="5458" spans="1:1" ht="15" x14ac:dyDescent="0.25">
      <c r="A5458"/>
    </row>
    <row r="5459" spans="1:1" ht="15" x14ac:dyDescent="0.25">
      <c r="A5459"/>
    </row>
    <row r="5460" spans="1:1" ht="15" x14ac:dyDescent="0.25">
      <c r="A5460"/>
    </row>
    <row r="5461" spans="1:1" ht="15" x14ac:dyDescent="0.25">
      <c r="A5461"/>
    </row>
    <row r="5462" spans="1:1" ht="15" x14ac:dyDescent="0.25">
      <c r="A5462"/>
    </row>
    <row r="5463" spans="1:1" ht="15" x14ac:dyDescent="0.25">
      <c r="A5463"/>
    </row>
    <row r="5464" spans="1:1" ht="15" x14ac:dyDescent="0.25">
      <c r="A5464"/>
    </row>
    <row r="5465" spans="1:1" ht="15" x14ac:dyDescent="0.25">
      <c r="A5465"/>
    </row>
    <row r="5466" spans="1:1" ht="15" x14ac:dyDescent="0.25">
      <c r="A5466"/>
    </row>
    <row r="5467" spans="1:1" ht="15" x14ac:dyDescent="0.25">
      <c r="A5467"/>
    </row>
    <row r="5468" spans="1:1" ht="15" x14ac:dyDescent="0.25">
      <c r="A5468"/>
    </row>
    <row r="5469" spans="1:1" ht="15" x14ac:dyDescent="0.25">
      <c r="A5469"/>
    </row>
    <row r="5470" spans="1:1" ht="15" x14ac:dyDescent="0.25">
      <c r="A5470"/>
    </row>
    <row r="5471" spans="1:1" ht="15" x14ac:dyDescent="0.25">
      <c r="A5471"/>
    </row>
    <row r="5472" spans="1:1" ht="15" x14ac:dyDescent="0.25">
      <c r="A5472"/>
    </row>
    <row r="5473" spans="1:1" ht="15" x14ac:dyDescent="0.25">
      <c r="A5473"/>
    </row>
    <row r="5474" spans="1:1" ht="15" x14ac:dyDescent="0.25">
      <c r="A5474"/>
    </row>
    <row r="5475" spans="1:1" ht="15" x14ac:dyDescent="0.25">
      <c r="A5475"/>
    </row>
    <row r="5476" spans="1:1" ht="15" x14ac:dyDescent="0.25">
      <c r="A5476"/>
    </row>
    <row r="5477" spans="1:1" ht="15" x14ac:dyDescent="0.25">
      <c r="A5477"/>
    </row>
    <row r="5478" spans="1:1" ht="15" x14ac:dyDescent="0.25">
      <c r="A5478"/>
    </row>
    <row r="5479" spans="1:1" ht="15" x14ac:dyDescent="0.25">
      <c r="A5479"/>
    </row>
    <row r="5480" spans="1:1" ht="15" x14ac:dyDescent="0.25">
      <c r="A5480"/>
    </row>
    <row r="5481" spans="1:1" ht="15" x14ac:dyDescent="0.25">
      <c r="A5481"/>
    </row>
    <row r="5482" spans="1:1" ht="15" x14ac:dyDescent="0.25">
      <c r="A5482"/>
    </row>
    <row r="5483" spans="1:1" ht="15" x14ac:dyDescent="0.25">
      <c r="A5483"/>
    </row>
    <row r="5484" spans="1:1" ht="15" x14ac:dyDescent="0.25">
      <c r="A5484"/>
    </row>
    <row r="5485" spans="1:1" ht="15" x14ac:dyDescent="0.25">
      <c r="A5485"/>
    </row>
    <row r="5486" spans="1:1" ht="15" x14ac:dyDescent="0.25">
      <c r="A5486"/>
    </row>
    <row r="5487" spans="1:1" ht="15" x14ac:dyDescent="0.25">
      <c r="A5487"/>
    </row>
    <row r="5488" spans="1:1" ht="15" x14ac:dyDescent="0.25">
      <c r="A5488"/>
    </row>
    <row r="5489" spans="1:1" ht="15" x14ac:dyDescent="0.25">
      <c r="A5489"/>
    </row>
    <row r="5490" spans="1:1" ht="15" x14ac:dyDescent="0.25">
      <c r="A5490"/>
    </row>
    <row r="5491" spans="1:1" ht="15" x14ac:dyDescent="0.25">
      <c r="A5491"/>
    </row>
    <row r="5492" spans="1:1" ht="15" x14ac:dyDescent="0.25">
      <c r="A5492"/>
    </row>
    <row r="5493" spans="1:1" ht="15" x14ac:dyDescent="0.25">
      <c r="A5493"/>
    </row>
    <row r="5494" spans="1:1" ht="15" x14ac:dyDescent="0.25">
      <c r="A5494"/>
    </row>
    <row r="5495" spans="1:1" ht="15" x14ac:dyDescent="0.25">
      <c r="A5495"/>
    </row>
    <row r="5496" spans="1:1" ht="15" x14ac:dyDescent="0.25">
      <c r="A5496"/>
    </row>
    <row r="5497" spans="1:1" ht="15" x14ac:dyDescent="0.25">
      <c r="A5497"/>
    </row>
    <row r="5498" spans="1:1" ht="15" x14ac:dyDescent="0.25">
      <c r="A5498"/>
    </row>
    <row r="5499" spans="1:1" ht="15" x14ac:dyDescent="0.25">
      <c r="A5499"/>
    </row>
    <row r="5500" spans="1:1" ht="15" x14ac:dyDescent="0.25">
      <c r="A5500"/>
    </row>
    <row r="5501" spans="1:1" ht="15" x14ac:dyDescent="0.25">
      <c r="A5501"/>
    </row>
    <row r="5502" spans="1:1" ht="15" x14ac:dyDescent="0.25">
      <c r="A5502"/>
    </row>
    <row r="5503" spans="1:1" ht="15" x14ac:dyDescent="0.25">
      <c r="A5503"/>
    </row>
    <row r="5504" spans="1:1" ht="15" x14ac:dyDescent="0.25">
      <c r="A5504"/>
    </row>
    <row r="5505" spans="1:1" ht="15" x14ac:dyDescent="0.25">
      <c r="A5505"/>
    </row>
    <row r="5506" spans="1:1" ht="15" x14ac:dyDescent="0.25">
      <c r="A5506"/>
    </row>
    <row r="5507" spans="1:1" ht="15" x14ac:dyDescent="0.25">
      <c r="A5507"/>
    </row>
    <row r="5508" spans="1:1" ht="15" x14ac:dyDescent="0.25">
      <c r="A5508"/>
    </row>
    <row r="5509" spans="1:1" ht="15" x14ac:dyDescent="0.25">
      <c r="A5509"/>
    </row>
    <row r="5510" spans="1:1" ht="15" x14ac:dyDescent="0.25">
      <c r="A5510"/>
    </row>
    <row r="5511" spans="1:1" ht="15" x14ac:dyDescent="0.25">
      <c r="A5511"/>
    </row>
    <row r="5512" spans="1:1" ht="15" x14ac:dyDescent="0.25">
      <c r="A5512"/>
    </row>
    <row r="5513" spans="1:1" ht="15" x14ac:dyDescent="0.25">
      <c r="A5513"/>
    </row>
    <row r="5514" spans="1:1" ht="15" x14ac:dyDescent="0.25">
      <c r="A5514"/>
    </row>
    <row r="5515" spans="1:1" ht="15" x14ac:dyDescent="0.25">
      <c r="A5515"/>
    </row>
    <row r="5516" spans="1:1" ht="15" x14ac:dyDescent="0.25">
      <c r="A5516"/>
    </row>
    <row r="5517" spans="1:1" ht="15" x14ac:dyDescent="0.25">
      <c r="A5517"/>
    </row>
    <row r="5518" spans="1:1" ht="15" x14ac:dyDescent="0.25">
      <c r="A5518"/>
    </row>
    <row r="5519" spans="1:1" ht="15" x14ac:dyDescent="0.25">
      <c r="A5519"/>
    </row>
    <row r="5520" spans="1:1" ht="15" x14ac:dyDescent="0.25">
      <c r="A5520"/>
    </row>
    <row r="5521" spans="1:1" ht="15" x14ac:dyDescent="0.25">
      <c r="A5521"/>
    </row>
    <row r="5522" spans="1:1" ht="15" x14ac:dyDescent="0.25">
      <c r="A5522"/>
    </row>
    <row r="5523" spans="1:1" ht="15" x14ac:dyDescent="0.25">
      <c r="A5523"/>
    </row>
    <row r="5524" spans="1:1" ht="15" x14ac:dyDescent="0.25">
      <c r="A5524"/>
    </row>
    <row r="5525" spans="1:1" ht="15" x14ac:dyDescent="0.25">
      <c r="A5525"/>
    </row>
    <row r="5526" spans="1:1" ht="15" x14ac:dyDescent="0.25">
      <c r="A5526"/>
    </row>
    <row r="5527" spans="1:1" ht="15" x14ac:dyDescent="0.25">
      <c r="A5527"/>
    </row>
    <row r="5528" spans="1:1" ht="15" x14ac:dyDescent="0.25">
      <c r="A5528"/>
    </row>
    <row r="5529" spans="1:1" ht="15" x14ac:dyDescent="0.25">
      <c r="A5529"/>
    </row>
    <row r="5530" spans="1:1" ht="15" x14ac:dyDescent="0.25">
      <c r="A5530"/>
    </row>
    <row r="5531" spans="1:1" ht="15" x14ac:dyDescent="0.25">
      <c r="A5531"/>
    </row>
    <row r="5532" spans="1:1" ht="15" x14ac:dyDescent="0.25">
      <c r="A5532"/>
    </row>
    <row r="5533" spans="1:1" ht="15" x14ac:dyDescent="0.25">
      <c r="A5533"/>
    </row>
    <row r="5534" spans="1:1" ht="15" x14ac:dyDescent="0.25">
      <c r="A5534"/>
    </row>
    <row r="5535" spans="1:1" ht="15" x14ac:dyDescent="0.25">
      <c r="A5535"/>
    </row>
    <row r="5536" spans="1:1" ht="15" x14ac:dyDescent="0.25">
      <c r="A5536"/>
    </row>
    <row r="5537" spans="1:1" ht="15" x14ac:dyDescent="0.25">
      <c r="A5537"/>
    </row>
    <row r="5538" spans="1:1" ht="15" x14ac:dyDescent="0.25">
      <c r="A5538"/>
    </row>
    <row r="5539" spans="1:1" ht="15" x14ac:dyDescent="0.25">
      <c r="A5539"/>
    </row>
    <row r="5540" spans="1:1" ht="15" x14ac:dyDescent="0.25">
      <c r="A5540"/>
    </row>
    <row r="5541" spans="1:1" ht="15" x14ac:dyDescent="0.25">
      <c r="A5541"/>
    </row>
    <row r="5542" spans="1:1" ht="15" x14ac:dyDescent="0.25">
      <c r="A5542"/>
    </row>
    <row r="5543" spans="1:1" ht="15" x14ac:dyDescent="0.25">
      <c r="A5543"/>
    </row>
    <row r="5544" spans="1:1" ht="15" x14ac:dyDescent="0.25">
      <c r="A5544"/>
    </row>
    <row r="5545" spans="1:1" ht="15" x14ac:dyDescent="0.25">
      <c r="A5545"/>
    </row>
    <row r="5546" spans="1:1" ht="15" x14ac:dyDescent="0.25">
      <c r="A5546"/>
    </row>
    <row r="5547" spans="1:1" ht="15" x14ac:dyDescent="0.25">
      <c r="A5547"/>
    </row>
    <row r="5548" spans="1:1" ht="15" x14ac:dyDescent="0.25">
      <c r="A5548"/>
    </row>
    <row r="5549" spans="1:1" ht="15" x14ac:dyDescent="0.25">
      <c r="A5549"/>
    </row>
    <row r="5550" spans="1:1" ht="15" x14ac:dyDescent="0.25">
      <c r="A5550"/>
    </row>
    <row r="5551" spans="1:1" ht="15" x14ac:dyDescent="0.25">
      <c r="A5551"/>
    </row>
    <row r="5552" spans="1:1" ht="15" x14ac:dyDescent="0.25">
      <c r="A5552"/>
    </row>
    <row r="5553" spans="1:1" ht="15" x14ac:dyDescent="0.25">
      <c r="A5553"/>
    </row>
    <row r="5554" spans="1:1" ht="15" x14ac:dyDescent="0.25">
      <c r="A5554"/>
    </row>
    <row r="5555" spans="1:1" ht="15" x14ac:dyDescent="0.25">
      <c r="A5555"/>
    </row>
    <row r="5556" spans="1:1" ht="15" x14ac:dyDescent="0.25">
      <c r="A5556"/>
    </row>
    <row r="5557" spans="1:1" ht="15" x14ac:dyDescent="0.25">
      <c r="A5557"/>
    </row>
    <row r="5558" spans="1:1" ht="15" x14ac:dyDescent="0.25">
      <c r="A5558"/>
    </row>
    <row r="5559" spans="1:1" ht="15" x14ac:dyDescent="0.25">
      <c r="A5559"/>
    </row>
    <row r="5560" spans="1:1" ht="15" x14ac:dyDescent="0.25">
      <c r="A5560"/>
    </row>
    <row r="5561" spans="1:1" ht="15" x14ac:dyDescent="0.25">
      <c r="A5561"/>
    </row>
    <row r="5562" spans="1:1" ht="15" x14ac:dyDescent="0.25">
      <c r="A5562"/>
    </row>
    <row r="5563" spans="1:1" ht="15" x14ac:dyDescent="0.25">
      <c r="A5563"/>
    </row>
    <row r="5564" spans="1:1" ht="15" x14ac:dyDescent="0.25">
      <c r="A5564"/>
    </row>
    <row r="5565" spans="1:1" ht="15" x14ac:dyDescent="0.25">
      <c r="A5565"/>
    </row>
    <row r="5566" spans="1:1" ht="15" x14ac:dyDescent="0.25">
      <c r="A5566"/>
    </row>
    <row r="5567" spans="1:1" ht="15" x14ac:dyDescent="0.25">
      <c r="A5567"/>
    </row>
    <row r="5568" spans="1:1" ht="15" x14ac:dyDescent="0.25">
      <c r="A5568"/>
    </row>
    <row r="5569" spans="1:1" ht="15" x14ac:dyDescent="0.25">
      <c r="A5569"/>
    </row>
    <row r="5570" spans="1:1" ht="15" x14ac:dyDescent="0.25">
      <c r="A5570"/>
    </row>
    <row r="5571" spans="1:1" ht="15" x14ac:dyDescent="0.25">
      <c r="A5571"/>
    </row>
    <row r="5572" spans="1:1" ht="15" x14ac:dyDescent="0.25">
      <c r="A5572"/>
    </row>
    <row r="5573" spans="1:1" ht="15" x14ac:dyDescent="0.25">
      <c r="A5573"/>
    </row>
    <row r="5574" spans="1:1" ht="15" x14ac:dyDescent="0.25">
      <c r="A5574"/>
    </row>
    <row r="5575" spans="1:1" ht="15" x14ac:dyDescent="0.25">
      <c r="A5575"/>
    </row>
    <row r="5576" spans="1:1" ht="15" x14ac:dyDescent="0.25">
      <c r="A5576"/>
    </row>
    <row r="5577" spans="1:1" ht="15" x14ac:dyDescent="0.25">
      <c r="A5577"/>
    </row>
    <row r="5578" spans="1:1" ht="15" x14ac:dyDescent="0.25">
      <c r="A5578"/>
    </row>
    <row r="5579" spans="1:1" ht="15" x14ac:dyDescent="0.25">
      <c r="A5579"/>
    </row>
    <row r="5580" spans="1:1" ht="15" x14ac:dyDescent="0.25">
      <c r="A5580"/>
    </row>
    <row r="5581" spans="1:1" ht="15" x14ac:dyDescent="0.25">
      <c r="A5581"/>
    </row>
    <row r="5582" spans="1:1" ht="15" x14ac:dyDescent="0.25">
      <c r="A5582"/>
    </row>
    <row r="5583" spans="1:1" ht="15" x14ac:dyDescent="0.25">
      <c r="A5583"/>
    </row>
    <row r="5584" spans="1:1" ht="15" x14ac:dyDescent="0.25">
      <c r="A5584"/>
    </row>
  </sheetData>
  <autoFilter ref="A1:XEU1571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 filterMode="1"/>
  <dimension ref="A1:AM161"/>
  <sheetViews>
    <sheetView tabSelected="1" topLeftCell="S25" zoomScaleNormal="100" workbookViewId="0">
      <selection activeCell="AD12" sqref="AD12:AD20"/>
    </sheetView>
  </sheetViews>
  <sheetFormatPr defaultColWidth="9" defaultRowHeight="15.6" x14ac:dyDescent="0.3"/>
  <cols>
    <col min="1" max="1" width="5.69921875" style="1" hidden="1" customWidth="1"/>
    <col min="2" max="2" width="4" style="1" customWidth="1"/>
    <col min="3" max="3" width="11.296875" style="1" customWidth="1"/>
    <col min="4" max="4" width="15.296875" style="1" customWidth="1"/>
    <col min="5" max="5" width="8.296875" style="1" customWidth="1"/>
    <col min="6" max="6" width="11.19921875" style="1" customWidth="1"/>
    <col min="7" max="8" width="5.09765625" style="1" customWidth="1"/>
    <col min="9" max="9" width="3.796875" style="1" customWidth="1"/>
    <col min="10" max="10" width="5.09765625" style="1" customWidth="1"/>
    <col min="11" max="11" width="3.19921875" style="1" customWidth="1"/>
    <col min="12" max="12" width="6.59765625" style="1" customWidth="1"/>
    <col min="13" max="13" width="14.59765625" style="1" customWidth="1"/>
    <col min="14" max="14" width="9.09765625" style="1" hidden="1" customWidth="1"/>
    <col min="15" max="15" width="5.796875" style="1" hidden="1" customWidth="1"/>
    <col min="16" max="16" width="6.5" style="1" hidden="1" customWidth="1"/>
    <col min="17" max="17" width="12.59765625" style="1" customWidth="1"/>
    <col min="18" max="18" width="4.5" style="1" hidden="1" customWidth="1"/>
    <col min="19" max="19" width="5.5" style="1" customWidth="1"/>
    <col min="20" max="20" width="7.69921875" style="1" customWidth="1"/>
    <col min="21" max="21" width="8.69921875" style="1" customWidth="1"/>
    <col min="22" max="22" width="5.19921875" style="1" customWidth="1"/>
    <col min="23" max="23" width="4.796875" style="1" customWidth="1"/>
    <col min="24" max="24" width="9.19921875" style="1" customWidth="1"/>
    <col min="25" max="25" width="5.296875" style="1" customWidth="1"/>
    <col min="26" max="26" width="6.09765625" style="1" customWidth="1"/>
    <col min="27" max="27" width="8.5" style="1" customWidth="1"/>
    <col min="28" max="28" width="9.09765625" style="1" bestFit="1" customWidth="1"/>
    <col min="29" max="30" width="9" style="1"/>
    <col min="31" max="31" width="9.59765625" style="1" bestFit="1" customWidth="1"/>
    <col min="32" max="16384" width="9" style="1"/>
  </cols>
  <sheetData>
    <row r="1" spans="1:39" ht="18" customHeight="1" x14ac:dyDescent="0.3">
      <c r="G1" s="100" t="s">
        <v>8</v>
      </c>
      <c r="H1" s="100"/>
      <c r="I1" s="100"/>
      <c r="J1" s="100"/>
      <c r="K1" s="100"/>
      <c r="L1" s="100"/>
      <c r="M1" s="100"/>
      <c r="N1" s="100"/>
      <c r="O1" s="100" t="str">
        <f>ChargeItem(T10:T155)</f>
        <v>603B-A3</v>
      </c>
      <c r="P1" s="100"/>
      <c r="Q1" s="100"/>
      <c r="R1" s="100"/>
      <c r="S1" s="100"/>
    </row>
    <row r="2" spans="1:39" ht="22.5" customHeight="1" x14ac:dyDescent="0.35">
      <c r="B2" s="96" t="s">
        <v>9</v>
      </c>
      <c r="C2" s="96"/>
      <c r="D2" s="96"/>
      <c r="E2" s="96"/>
      <c r="F2" s="96"/>
      <c r="G2" s="103" t="s">
        <v>619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28"/>
      <c r="W2" s="128"/>
    </row>
    <row r="3" spans="1:39" ht="18" customHeight="1" x14ac:dyDescent="0.35">
      <c r="B3" s="62"/>
      <c r="C3" s="73" t="s">
        <v>642</v>
      </c>
      <c r="D3" s="66" t="s">
        <v>644</v>
      </c>
      <c r="E3" s="62"/>
      <c r="F3" s="62"/>
      <c r="G3" s="102" t="s">
        <v>37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28"/>
      <c r="W3" s="128"/>
    </row>
    <row r="4" spans="1:39" ht="18" customHeight="1" x14ac:dyDescent="0.3">
      <c r="B4" s="72"/>
      <c r="C4" s="63" t="s">
        <v>643</v>
      </c>
      <c r="D4" s="21"/>
      <c r="E4" s="21"/>
      <c r="F4" s="21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29"/>
      <c r="U4" s="29"/>
      <c r="V4" s="29"/>
      <c r="W4" s="74"/>
      <c r="AF4" s="129"/>
      <c r="AJ4" s="129"/>
    </row>
    <row r="5" spans="1:39" ht="24" customHeight="1" x14ac:dyDescent="0.3">
      <c r="B5" s="77" t="s">
        <v>10</v>
      </c>
      <c r="C5" s="77"/>
      <c r="D5" s="21" t="s">
        <v>5</v>
      </c>
      <c r="E5" s="21"/>
      <c r="F5" s="21"/>
      <c r="G5" s="21"/>
      <c r="I5" s="21"/>
      <c r="J5" s="77" t="str">
        <f>ChargeItem(U10:U346)</f>
        <v>INT1303</v>
      </c>
      <c r="K5" s="77"/>
      <c r="L5" s="77"/>
      <c r="M5" s="77"/>
      <c r="N5" s="77"/>
      <c r="O5" s="21"/>
      <c r="P5" s="21"/>
      <c r="Q5" s="104" t="str">
        <f>ChargeItem(V10:V346)</f>
        <v>09</v>
      </c>
      <c r="R5" s="104"/>
      <c r="S5" s="104"/>
      <c r="T5" s="21"/>
      <c r="U5" s="21"/>
      <c r="V5" s="21"/>
      <c r="W5" s="2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</row>
    <row r="6" spans="1:39" ht="17.25" customHeight="1" x14ac:dyDescent="0.3">
      <c r="B6" s="97" t="s">
        <v>12</v>
      </c>
      <c r="C6" s="97"/>
      <c r="D6" s="22">
        <v>3</v>
      </c>
      <c r="E6" s="23" t="s">
        <v>13</v>
      </c>
      <c r="F6" s="109" t="str">
        <f>ChargeItem(X10:X155)</f>
        <v>13/06/2024</v>
      </c>
      <c r="G6" s="109"/>
      <c r="H6" s="109"/>
      <c r="I6" s="110" t="s">
        <v>14</v>
      </c>
      <c r="J6" s="110"/>
      <c r="K6" s="110"/>
      <c r="L6" s="110"/>
      <c r="M6" s="110"/>
      <c r="N6" s="105"/>
      <c r="O6" s="105"/>
      <c r="P6" s="105"/>
      <c r="Q6" s="109" t="str">
        <f>ChargeItem(Y10:Y161)</f>
        <v>17:30</v>
      </c>
      <c r="R6" s="98"/>
      <c r="S6" s="109"/>
      <c r="T6" s="111"/>
      <c r="U6" s="111"/>
      <c r="V6" s="45"/>
      <c r="W6" s="2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</row>
    <row r="7" spans="1:39" ht="36" customHeight="1" x14ac:dyDescent="0.3">
      <c r="B7" s="85" t="s">
        <v>15</v>
      </c>
      <c r="C7" s="123" t="s">
        <v>16</v>
      </c>
      <c r="D7" s="85" t="s">
        <v>17</v>
      </c>
      <c r="E7" s="85"/>
      <c r="F7" s="85" t="s">
        <v>11</v>
      </c>
      <c r="G7" s="81" t="s">
        <v>18</v>
      </c>
      <c r="H7" s="81" t="s">
        <v>19</v>
      </c>
      <c r="I7" s="81" t="s">
        <v>20</v>
      </c>
      <c r="J7" s="81" t="s">
        <v>21</v>
      </c>
      <c r="K7" s="85" t="s">
        <v>22</v>
      </c>
      <c r="L7" s="85" t="s">
        <v>23</v>
      </c>
      <c r="M7" s="85"/>
      <c r="N7" s="89" t="s">
        <v>24</v>
      </c>
      <c r="O7" s="85" t="s">
        <v>25</v>
      </c>
      <c r="P7" s="82" t="s">
        <v>26</v>
      </c>
      <c r="Q7" s="85" t="s">
        <v>27</v>
      </c>
      <c r="R7" s="106" t="s">
        <v>38</v>
      </c>
      <c r="S7" s="85" t="s">
        <v>28</v>
      </c>
      <c r="T7" s="85" t="s">
        <v>29</v>
      </c>
      <c r="U7" s="82" t="s">
        <v>32</v>
      </c>
      <c r="V7" s="82" t="s">
        <v>38</v>
      </c>
      <c r="W7" s="82" t="s">
        <v>39</v>
      </c>
      <c r="X7" s="125" t="s">
        <v>646</v>
      </c>
      <c r="Y7" s="131"/>
      <c r="Z7" s="131"/>
      <c r="AA7" s="131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3"/>
    </row>
    <row r="8" spans="1:39" ht="36" customHeight="1" x14ac:dyDescent="0.3">
      <c r="B8" s="85"/>
      <c r="C8" s="123"/>
      <c r="D8" s="85"/>
      <c r="E8" s="85"/>
      <c r="F8" s="85"/>
      <c r="G8" s="81"/>
      <c r="H8" s="81"/>
      <c r="I8" s="81"/>
      <c r="J8" s="81"/>
      <c r="K8" s="85"/>
      <c r="L8" s="75" t="s">
        <v>30</v>
      </c>
      <c r="M8" s="75" t="s">
        <v>31</v>
      </c>
      <c r="N8" s="89"/>
      <c r="O8" s="85"/>
      <c r="P8" s="83"/>
      <c r="Q8" s="85"/>
      <c r="R8" s="107"/>
      <c r="S8" s="85"/>
      <c r="T8" s="85"/>
      <c r="U8" s="83"/>
      <c r="V8" s="83"/>
      <c r="W8" s="83"/>
      <c r="X8" s="126"/>
      <c r="Y8" s="152"/>
      <c r="Z8" s="150" t="s">
        <v>647</v>
      </c>
      <c r="AA8" s="144" t="s">
        <v>648</v>
      </c>
      <c r="AB8" s="129"/>
      <c r="AC8" s="129"/>
      <c r="AD8" s="129"/>
      <c r="AE8" s="134"/>
      <c r="AF8" s="129"/>
      <c r="AG8" s="135"/>
      <c r="AH8" s="136"/>
      <c r="AI8" s="135"/>
      <c r="AJ8" s="136"/>
      <c r="AK8" s="135"/>
      <c r="AL8" s="129"/>
      <c r="AM8" s="134"/>
    </row>
    <row r="9" spans="1:39" ht="16.5" customHeight="1" x14ac:dyDescent="0.3">
      <c r="B9" s="85" t="s">
        <v>33</v>
      </c>
      <c r="C9" s="85"/>
      <c r="D9" s="85"/>
      <c r="E9" s="85"/>
      <c r="F9" s="85"/>
      <c r="G9" s="42">
        <v>10</v>
      </c>
      <c r="H9" s="42">
        <v>10</v>
      </c>
      <c r="I9" s="42">
        <v>0</v>
      </c>
      <c r="J9" s="42">
        <v>20</v>
      </c>
      <c r="K9" s="124"/>
      <c r="L9" s="124"/>
      <c r="M9" s="124"/>
      <c r="N9" s="5"/>
      <c r="O9" s="32">
        <f>100-(G9+H9+I9+J9)</f>
        <v>60</v>
      </c>
      <c r="P9" s="84"/>
      <c r="Q9" s="85"/>
      <c r="R9" s="108"/>
      <c r="S9" s="85"/>
      <c r="T9" s="85"/>
      <c r="U9" s="84"/>
      <c r="V9" s="84"/>
      <c r="W9" s="84"/>
      <c r="X9" s="127"/>
      <c r="Y9" s="130"/>
      <c r="Z9" s="150"/>
      <c r="AA9" s="144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</row>
    <row r="10" spans="1:39" ht="20.25" customHeight="1" x14ac:dyDescent="0.3">
      <c r="A10" s="1">
        <v>584</v>
      </c>
      <c r="B10" s="112">
        <f>IF(LEN(C10=0),SUBTOTAL(3,$C$10:C10),"")</f>
        <v>1</v>
      </c>
      <c r="C10" s="113" t="s">
        <v>92</v>
      </c>
      <c r="D10" s="114" t="s">
        <v>501</v>
      </c>
      <c r="E10" s="115" t="s">
        <v>353</v>
      </c>
      <c r="F10" s="113" t="s">
        <v>359</v>
      </c>
      <c r="G10" s="116">
        <v>9</v>
      </c>
      <c r="H10" s="116">
        <v>7</v>
      </c>
      <c r="I10" s="117" t="s">
        <v>0</v>
      </c>
      <c r="J10" s="116">
        <v>7.5</v>
      </c>
      <c r="K10" s="118"/>
      <c r="L10" s="119">
        <v>8.5</v>
      </c>
      <c r="M10" s="120" t="str">
        <f>IFERROR(LOOKUP(INT(L10),Sheet1!$A$2:$A$12,Sheet1!$B$2:$B$12)&amp;" phẩy "&amp;(LOOKUP(ROUND(L10-INT(L10),1)*10,Sheet1!$A$2:$A$12,Sheet1!$C$2:$C$12)),"")</f>
        <v>Tám phẩy năm</v>
      </c>
      <c r="N10" s="41"/>
      <c r="O10" s="20" t="s">
        <v>0</v>
      </c>
      <c r="P10" s="7">
        <f t="shared" ref="P10:P128" si="0">IF(O10="H","I",IF(OR(O10="DC",O10="C",O10="V"),0,ROUND(SUMPRODUCT(G10:O10,$G$9:$O$9)/100,1)))</f>
        <v>3.1</v>
      </c>
      <c r="Q10" s="121" t="str">
        <f t="shared" ref="Q10:Q128" si="1">IF(OR($G10=0,$H10=0,$I10=0,$J10=0,$S10="Nợ HP"),"Không đủ ĐKDT",IF(AND(O10=0,P10&gt;=4),"Không đạt",IF(O10="V", "Vắng", IF(O10="DC", "Đình chỉ thi",IF(O10="H", "Vắng có phép","")))))</f>
        <v/>
      </c>
      <c r="R10" s="39" t="str">
        <f t="shared" ref="R10:R67" si="2">LEFT(V10,2)</f>
        <v>09</v>
      </c>
      <c r="S10" s="121" t="str">
        <f t="shared" ref="S10:S128" si="3">IFERROR(VLOOKUP($C10,HP,2,0),"")</f>
        <v/>
      </c>
      <c r="T10" s="122" t="s">
        <v>3</v>
      </c>
      <c r="U10" s="137" t="s">
        <v>4</v>
      </c>
      <c r="V10" s="138" t="s">
        <v>575</v>
      </c>
      <c r="W10" s="122" t="s">
        <v>40</v>
      </c>
      <c r="X10" s="122" t="s">
        <v>345</v>
      </c>
      <c r="Y10" s="149" t="s">
        <v>35</v>
      </c>
      <c r="Z10" s="147">
        <f>G10*0.1 + H10*0.1 + J10*0.2 + L10*0.6</f>
        <v>8.1999999999999993</v>
      </c>
      <c r="AA10" s="151" t="str" cm="1">
        <f t="array" ref="AA10">_xlfn.IFS( Z10&gt;=9, "A+", Z10&gt;=8.5, "A", Z10&gt;=8, "B+", Z10&gt;=7, "B", Z10&gt;=6.5, "C+", Z10&gt;=5.5, "C", Z10&gt;=5, "D+", Z10&gt;=4, "D", Z10&lt;4, "F" )</f>
        <v>B+</v>
      </c>
    </row>
    <row r="11" spans="1:39" ht="20.25" customHeight="1" x14ac:dyDescent="0.3">
      <c r="A11" s="1">
        <v>585</v>
      </c>
      <c r="B11" s="6">
        <f>IF(LEN(C11=0),SUBTOTAL(3,$C$10:C11),"")</f>
        <v>2</v>
      </c>
      <c r="C11" s="54" t="s">
        <v>188</v>
      </c>
      <c r="D11" s="55" t="s">
        <v>518</v>
      </c>
      <c r="E11" s="56" t="s">
        <v>353</v>
      </c>
      <c r="F11" s="54" t="s">
        <v>372</v>
      </c>
      <c r="G11" s="57">
        <v>5</v>
      </c>
      <c r="H11" s="57">
        <v>4</v>
      </c>
      <c r="I11" s="64" t="s">
        <v>0</v>
      </c>
      <c r="J11" s="57">
        <v>3</v>
      </c>
      <c r="K11" s="10"/>
      <c r="L11" s="68">
        <v>0</v>
      </c>
      <c r="M11" s="69" t="str">
        <f>IFERROR(LOOKUP(INT(L11),Sheet1!$A$2:$A$12,Sheet1!$B$2:$B$12)&amp;" phẩy "&amp;(LOOKUP(ROUND(L11-INT(L11),1)*10,Sheet1!$A$2:$A$12,Sheet1!$C$2:$C$12)),"")</f>
        <v>Không phẩy không</v>
      </c>
      <c r="N11" s="41"/>
      <c r="O11" s="20" t="s">
        <v>0</v>
      </c>
      <c r="P11" s="7">
        <f t="shared" si="0"/>
        <v>1.5</v>
      </c>
      <c r="Q11" s="8" t="str">
        <f t="shared" si="1"/>
        <v/>
      </c>
      <c r="R11" s="39" t="str">
        <f t="shared" si="2"/>
        <v>09</v>
      </c>
      <c r="S11" s="8" t="str">
        <f t="shared" si="3"/>
        <v/>
      </c>
      <c r="T11" s="9" t="s">
        <v>3</v>
      </c>
      <c r="U11" s="137" t="s">
        <v>4</v>
      </c>
      <c r="V11" s="138" t="s">
        <v>575</v>
      </c>
      <c r="W11" s="9" t="s">
        <v>40</v>
      </c>
      <c r="X11" s="9" t="s">
        <v>345</v>
      </c>
      <c r="Y11" s="149" t="s">
        <v>35</v>
      </c>
      <c r="Z11" s="147">
        <f t="shared" ref="Z11:Z74" si="4">G11*0.1+H11*0.1+J11*0.2+L11*0.6</f>
        <v>1.5</v>
      </c>
      <c r="AA11" s="151" t="str" cm="1">
        <f t="array" ref="AA11">_xlfn.IFS( Z11&gt;=9, "A+", Z11&gt;=8.5, "A", Z11&gt;=8, "B+", Z11&gt;=7, "B", Z11&gt;=6.5, "C+", Z11&gt;=5.5, "C", Z11&gt;=5, "D+", Z11&gt;=4, "D", Z11&lt;4, "F" )</f>
        <v>F</v>
      </c>
      <c r="AC11" s="154" t="s">
        <v>663</v>
      </c>
      <c r="AD11" s="154" t="s">
        <v>660</v>
      </c>
      <c r="AE11" s="154" t="s">
        <v>664</v>
      </c>
    </row>
    <row r="12" spans="1:39" ht="20.25" customHeight="1" x14ac:dyDescent="0.3">
      <c r="A12" s="1">
        <v>586</v>
      </c>
      <c r="B12" s="6">
        <f>IF(LEN(C12=0),SUBTOTAL(3,$C$10:C12),"")</f>
        <v>3</v>
      </c>
      <c r="C12" s="54" t="s">
        <v>222</v>
      </c>
      <c r="D12" s="55" t="s">
        <v>512</v>
      </c>
      <c r="E12" s="56" t="s">
        <v>353</v>
      </c>
      <c r="F12" s="54" t="s">
        <v>400</v>
      </c>
      <c r="G12" s="57">
        <v>10</v>
      </c>
      <c r="H12" s="57">
        <v>7.5</v>
      </c>
      <c r="I12" s="64" t="s">
        <v>0</v>
      </c>
      <c r="J12" s="57">
        <v>8.5</v>
      </c>
      <c r="K12" s="10"/>
      <c r="L12" s="68">
        <v>8.6999999999999993</v>
      </c>
      <c r="M12" s="69" t="str">
        <f>IFERROR(LOOKUP(INT(L12),Sheet1!$A$2:$A$12,Sheet1!$B$2:$B$12)&amp;" phẩy "&amp;(LOOKUP(ROUND(L12-INT(L12),1)*10,Sheet1!$A$2:$A$12,Sheet1!$C$2:$C$12)),"")</f>
        <v>Tám phẩy bảy</v>
      </c>
      <c r="N12" s="41"/>
      <c r="O12" s="20" t="s">
        <v>0</v>
      </c>
      <c r="P12" s="7">
        <f t="shared" si="0"/>
        <v>3.5</v>
      </c>
      <c r="Q12" s="8" t="str">
        <f t="shared" si="1"/>
        <v/>
      </c>
      <c r="R12" s="39" t="str">
        <f t="shared" si="2"/>
        <v>09</v>
      </c>
      <c r="S12" s="8" t="str">
        <f t="shared" si="3"/>
        <v/>
      </c>
      <c r="T12" s="9" t="s">
        <v>3</v>
      </c>
      <c r="U12" s="137" t="s">
        <v>4</v>
      </c>
      <c r="V12" s="138" t="s">
        <v>575</v>
      </c>
      <c r="W12" s="9" t="s">
        <v>40</v>
      </c>
      <c r="X12" s="9" t="s">
        <v>345</v>
      </c>
      <c r="Y12" s="149" t="s">
        <v>35</v>
      </c>
      <c r="Z12" s="147">
        <f t="shared" si="4"/>
        <v>8.67</v>
      </c>
      <c r="AA12" s="151" t="str" cm="1">
        <f t="array" ref="AA12">_xlfn.IFS( Z12&gt;=9, "A+", Z12&gt;=8.5, "A", Z12&gt;=8, "B+", Z12&gt;=7, "B", Z12&gt;=6.5, "C+", Z12&gt;=5.5, "C", Z12&gt;=5, "D+", Z12&gt;=4, "D", Z12&lt;4, "F" )</f>
        <v>A</v>
      </c>
      <c r="AC12" s="153" t="s">
        <v>650</v>
      </c>
      <c r="AD12" s="145">
        <f>COUNTIF(AA10:AA82,AC12)</f>
        <v>1</v>
      </c>
      <c r="AE12" s="146">
        <f>AD12/73*100</f>
        <v>1.3698630136986301</v>
      </c>
    </row>
    <row r="13" spans="1:39" ht="20.25" customHeight="1" x14ac:dyDescent="0.3">
      <c r="A13" s="1">
        <v>587</v>
      </c>
      <c r="B13" s="6">
        <f>IF(LEN(C13=0),SUBTOTAL(3,$C$10:C13),"")</f>
        <v>4</v>
      </c>
      <c r="C13" s="54" t="s">
        <v>152</v>
      </c>
      <c r="D13" s="55" t="s">
        <v>506</v>
      </c>
      <c r="E13" s="56" t="s">
        <v>361</v>
      </c>
      <c r="F13" s="54" t="s">
        <v>359</v>
      </c>
      <c r="G13" s="57">
        <v>10</v>
      </c>
      <c r="H13" s="57">
        <v>8.5</v>
      </c>
      <c r="I13" s="64" t="s">
        <v>0</v>
      </c>
      <c r="J13" s="57">
        <v>8</v>
      </c>
      <c r="K13" s="10"/>
      <c r="L13" s="68">
        <v>8.5</v>
      </c>
      <c r="M13" s="69" t="str">
        <f>IFERROR(LOOKUP(INT(L13),Sheet1!$A$2:$A$12,Sheet1!$B$2:$B$12)&amp;" phẩy "&amp;(LOOKUP(ROUND(L13-INT(L13),1)*10,Sheet1!$A$2:$A$12,Sheet1!$C$2:$C$12)),"")</f>
        <v>Tám phẩy năm</v>
      </c>
      <c r="N13" s="41"/>
      <c r="O13" s="20" t="s">
        <v>0</v>
      </c>
      <c r="P13" s="7">
        <f t="shared" si="0"/>
        <v>3.5</v>
      </c>
      <c r="Q13" s="8" t="str">
        <f t="shared" si="1"/>
        <v/>
      </c>
      <c r="R13" s="39" t="str">
        <f t="shared" si="2"/>
        <v>09</v>
      </c>
      <c r="S13" s="8" t="str">
        <f t="shared" si="3"/>
        <v/>
      </c>
      <c r="T13" s="9" t="s">
        <v>3</v>
      </c>
      <c r="U13" s="137" t="s">
        <v>4</v>
      </c>
      <c r="V13" s="138" t="s">
        <v>575</v>
      </c>
      <c r="W13" s="9" t="s">
        <v>40</v>
      </c>
      <c r="X13" s="9" t="s">
        <v>345</v>
      </c>
      <c r="Y13" s="149" t="s">
        <v>35</v>
      </c>
      <c r="Z13" s="147">
        <f t="shared" si="4"/>
        <v>8.5500000000000007</v>
      </c>
      <c r="AA13" s="151" t="str" cm="1">
        <f t="array" ref="AA13">_xlfn.IFS( Z13&gt;=9, "A+", Z13&gt;=8.5, "A", Z13&gt;=8, "B+", Z13&gt;=7, "B", Z13&gt;=6.5, "C+", Z13&gt;=5.5, "C", Z13&gt;=5, "D+", Z13&gt;=4, "D", Z13&lt;4, "F" )</f>
        <v>A</v>
      </c>
      <c r="AC13" s="145" t="s">
        <v>651</v>
      </c>
      <c r="AD13" s="145">
        <f>COUNTIF(AA10:AA82,AC13)</f>
        <v>11</v>
      </c>
      <c r="AE13" s="146">
        <f t="shared" ref="AE13:AE20" si="5">AD13/73*100</f>
        <v>15.068493150684931</v>
      </c>
    </row>
    <row r="14" spans="1:39" ht="20.25" customHeight="1" x14ac:dyDescent="0.3">
      <c r="A14" s="1">
        <v>588</v>
      </c>
      <c r="B14" s="6">
        <f>IF(LEN(C14=0),SUBTOTAL(3,$C$10:C14),"")</f>
        <v>5</v>
      </c>
      <c r="C14" s="54" t="s">
        <v>185</v>
      </c>
      <c r="D14" s="55" t="s">
        <v>519</v>
      </c>
      <c r="E14" s="56" t="s">
        <v>520</v>
      </c>
      <c r="F14" s="54" t="s">
        <v>364</v>
      </c>
      <c r="G14" s="57">
        <v>6</v>
      </c>
      <c r="H14" s="57">
        <v>4</v>
      </c>
      <c r="I14" s="64" t="s">
        <v>0</v>
      </c>
      <c r="J14" s="57">
        <v>4</v>
      </c>
      <c r="K14" s="10"/>
      <c r="L14" s="68">
        <v>6.3</v>
      </c>
      <c r="M14" s="69" t="str">
        <f>IFERROR(LOOKUP(INT(L14),Sheet1!$A$2:$A$12,Sheet1!$B$2:$B$12)&amp;" phẩy "&amp;(LOOKUP(ROUND(L14-INT(L14),1)*10,Sheet1!$A$2:$A$12,Sheet1!$C$2:$C$12)),"")</f>
        <v>Sáu phẩy ba</v>
      </c>
      <c r="N14" s="41"/>
      <c r="O14" s="20" t="s">
        <v>0</v>
      </c>
      <c r="P14" s="7">
        <f t="shared" si="0"/>
        <v>1.8</v>
      </c>
      <c r="Q14" s="8" t="str">
        <f t="shared" si="1"/>
        <v/>
      </c>
      <c r="R14" s="39" t="str">
        <f t="shared" si="2"/>
        <v>09</v>
      </c>
      <c r="S14" s="8" t="str">
        <f t="shared" si="3"/>
        <v/>
      </c>
      <c r="T14" s="9" t="s">
        <v>3</v>
      </c>
      <c r="U14" s="137" t="s">
        <v>4</v>
      </c>
      <c r="V14" s="138" t="s">
        <v>575</v>
      </c>
      <c r="W14" s="9" t="s">
        <v>40</v>
      </c>
      <c r="X14" s="9" t="s">
        <v>345</v>
      </c>
      <c r="Y14" s="149" t="s">
        <v>35</v>
      </c>
      <c r="Z14" s="147">
        <f t="shared" si="4"/>
        <v>5.58</v>
      </c>
      <c r="AA14" s="151" t="str" cm="1">
        <f t="array" ref="AA14">_xlfn.IFS( Z14&gt;=9, "A+", Z14&gt;=8.5, "A", Z14&gt;=8, "B+", Z14&gt;=7, "B", Z14&gt;=6.5, "C+", Z14&gt;=5.5, "C", Z14&gt;=5, "D+", Z14&gt;=4, "D", Z14&lt;4, "F" )</f>
        <v>C</v>
      </c>
      <c r="AC14" s="145" t="s">
        <v>652</v>
      </c>
      <c r="AD14" s="145">
        <f>COUNTIF(AA10:AA82,AC14)</f>
        <v>21</v>
      </c>
      <c r="AE14" s="146">
        <f t="shared" si="5"/>
        <v>28.767123287671232</v>
      </c>
    </row>
    <row r="15" spans="1:39" ht="20.25" customHeight="1" x14ac:dyDescent="0.3">
      <c r="A15" s="1">
        <v>589</v>
      </c>
      <c r="B15" s="6">
        <f>IF(LEN(C15=0),SUBTOTAL(3,$C$10:C15),"")</f>
        <v>6</v>
      </c>
      <c r="C15" s="54" t="s">
        <v>108</v>
      </c>
      <c r="D15" s="55" t="s">
        <v>521</v>
      </c>
      <c r="E15" s="56" t="s">
        <v>522</v>
      </c>
      <c r="F15" s="54" t="s">
        <v>372</v>
      </c>
      <c r="G15" s="57">
        <v>9</v>
      </c>
      <c r="H15" s="57">
        <v>7.5</v>
      </c>
      <c r="I15" s="64" t="s">
        <v>0</v>
      </c>
      <c r="J15" s="57">
        <v>8.5</v>
      </c>
      <c r="K15" s="10"/>
      <c r="L15" s="68">
        <v>6.7</v>
      </c>
      <c r="M15" s="69" t="str">
        <f>IFERROR(LOOKUP(INT(L15),Sheet1!$A$2:$A$12,Sheet1!$B$2:$B$12)&amp;" phẩy "&amp;(LOOKUP(ROUND(L15-INT(L15),1)*10,Sheet1!$A$2:$A$12,Sheet1!$C$2:$C$12)),"")</f>
        <v>Sáu phẩy bảy</v>
      </c>
      <c r="N15" s="41"/>
      <c r="O15" s="20" t="s">
        <v>0</v>
      </c>
      <c r="P15" s="7">
        <f t="shared" si="0"/>
        <v>3.4</v>
      </c>
      <c r="Q15" s="8" t="str">
        <f t="shared" si="1"/>
        <v/>
      </c>
      <c r="R15" s="39" t="str">
        <f t="shared" si="2"/>
        <v>09</v>
      </c>
      <c r="S15" s="8" t="str">
        <f t="shared" si="3"/>
        <v/>
      </c>
      <c r="T15" s="9" t="s">
        <v>3</v>
      </c>
      <c r="U15" s="137" t="s">
        <v>4</v>
      </c>
      <c r="V15" s="138" t="s">
        <v>575</v>
      </c>
      <c r="W15" s="9" t="s">
        <v>40</v>
      </c>
      <c r="X15" s="9" t="s">
        <v>345</v>
      </c>
      <c r="Y15" s="149" t="s">
        <v>35</v>
      </c>
      <c r="Z15" s="147">
        <f t="shared" si="4"/>
        <v>7.3699999999999992</v>
      </c>
      <c r="AA15" s="151" t="str" cm="1">
        <f t="array" ref="AA15">_xlfn.IFS( Z15&gt;=9, "A+", Z15&gt;=8.5, "A", Z15&gt;=8, "B+", Z15&gt;=7, "B", Z15&gt;=6.5, "C+", Z15&gt;=5.5, "C", Z15&gt;=5, "D+", Z15&gt;=4, "D", Z15&lt;4, "F" )</f>
        <v>B</v>
      </c>
      <c r="AC15" s="145" t="s">
        <v>653</v>
      </c>
      <c r="AD15" s="145">
        <f>COUNTIF(AA10:AA82,AC15)</f>
        <v>24</v>
      </c>
      <c r="AE15" s="146">
        <f t="shared" si="5"/>
        <v>32.87671232876712</v>
      </c>
    </row>
    <row r="16" spans="1:39" ht="20.25" customHeight="1" x14ac:dyDescent="0.3">
      <c r="A16" s="1">
        <v>590</v>
      </c>
      <c r="B16" s="6">
        <f>IF(LEN(C16=0),SUBTOTAL(3,$C$10:C16),"")</f>
        <v>7</v>
      </c>
      <c r="C16" s="54" t="s">
        <v>124</v>
      </c>
      <c r="D16" s="55" t="s">
        <v>517</v>
      </c>
      <c r="E16" s="56" t="s">
        <v>368</v>
      </c>
      <c r="F16" s="54" t="s">
        <v>413</v>
      </c>
      <c r="G16" s="57">
        <v>10</v>
      </c>
      <c r="H16" s="57">
        <v>8</v>
      </c>
      <c r="I16" s="64" t="s">
        <v>0</v>
      </c>
      <c r="J16" s="57">
        <v>7.5</v>
      </c>
      <c r="K16" s="10"/>
      <c r="L16" s="68">
        <v>8</v>
      </c>
      <c r="M16" s="69" t="str">
        <f>IFERROR(LOOKUP(INT(L16),Sheet1!$A$2:$A$12,Sheet1!$B$2:$B$12)&amp;" phẩy "&amp;(LOOKUP(ROUND(L16-INT(L16),1)*10,Sheet1!$A$2:$A$12,Sheet1!$C$2:$C$12)),"")</f>
        <v>Tám phẩy không</v>
      </c>
      <c r="N16" s="41"/>
      <c r="O16" s="20" t="s">
        <v>0</v>
      </c>
      <c r="P16" s="7">
        <f t="shared" si="0"/>
        <v>3.3</v>
      </c>
      <c r="Q16" s="8" t="str">
        <f t="shared" si="1"/>
        <v/>
      </c>
      <c r="R16" s="39" t="str">
        <f t="shared" si="2"/>
        <v>09</v>
      </c>
      <c r="S16" s="8" t="str">
        <f t="shared" si="3"/>
        <v/>
      </c>
      <c r="T16" s="9" t="s">
        <v>3</v>
      </c>
      <c r="U16" s="137" t="s">
        <v>4</v>
      </c>
      <c r="V16" s="138" t="s">
        <v>575</v>
      </c>
      <c r="W16" s="9" t="s">
        <v>40</v>
      </c>
      <c r="X16" s="9" t="s">
        <v>345</v>
      </c>
      <c r="Y16" s="149" t="s">
        <v>35</v>
      </c>
      <c r="Z16" s="147">
        <f t="shared" si="4"/>
        <v>8.1</v>
      </c>
      <c r="AA16" s="151" t="str" cm="1">
        <f t="array" ref="AA16">_xlfn.IFS( Z16&gt;=9, "A+", Z16&gt;=8.5, "A", Z16&gt;=8, "B+", Z16&gt;=7, "B", Z16&gt;=6.5, "C+", Z16&gt;=5.5, "C", Z16&gt;=5, "D+", Z16&gt;=4, "D", Z16&lt;4, "F" )</f>
        <v>B+</v>
      </c>
      <c r="AC16" s="145" t="s">
        <v>654</v>
      </c>
      <c r="AD16" s="145">
        <f>COUNTIF(AA10:AA82,AC16)</f>
        <v>4</v>
      </c>
      <c r="AE16" s="146">
        <f t="shared" si="5"/>
        <v>5.4794520547945202</v>
      </c>
    </row>
    <row r="17" spans="1:31" ht="20.25" customHeight="1" x14ac:dyDescent="0.3">
      <c r="A17" s="1">
        <v>591</v>
      </c>
      <c r="B17" s="6">
        <f>IF(LEN(C17=0),SUBTOTAL(3,$C$10:C17),"")</f>
        <v>8</v>
      </c>
      <c r="C17" s="54" t="s">
        <v>154</v>
      </c>
      <c r="D17" s="55" t="s">
        <v>523</v>
      </c>
      <c r="E17" s="56" t="s">
        <v>371</v>
      </c>
      <c r="F17" s="54" t="s">
        <v>359</v>
      </c>
      <c r="G17" s="57">
        <v>10</v>
      </c>
      <c r="H17" s="57">
        <v>8.5</v>
      </c>
      <c r="I17" s="64" t="s">
        <v>0</v>
      </c>
      <c r="J17" s="57">
        <v>8</v>
      </c>
      <c r="K17" s="10"/>
      <c r="L17" s="68">
        <v>7.7</v>
      </c>
      <c r="M17" s="69" t="str">
        <f>IFERROR(LOOKUP(INT(L17),Sheet1!$A$2:$A$12,Sheet1!$B$2:$B$12)&amp;" phẩy "&amp;(LOOKUP(ROUND(L17-INT(L17),1)*10,Sheet1!$A$2:$A$12,Sheet1!$C$2:$C$12)),"")</f>
        <v>Bảy phẩy bảy</v>
      </c>
      <c r="N17" s="41"/>
      <c r="O17" s="20" t="s">
        <v>0</v>
      </c>
      <c r="P17" s="7">
        <f t="shared" si="0"/>
        <v>3.5</v>
      </c>
      <c r="Q17" s="8" t="str">
        <f t="shared" si="1"/>
        <v/>
      </c>
      <c r="R17" s="39" t="str">
        <f t="shared" si="2"/>
        <v>09</v>
      </c>
      <c r="S17" s="8" t="str">
        <f t="shared" si="3"/>
        <v/>
      </c>
      <c r="T17" s="9" t="s">
        <v>3</v>
      </c>
      <c r="U17" s="137" t="s">
        <v>4</v>
      </c>
      <c r="V17" s="138" t="s">
        <v>575</v>
      </c>
      <c r="W17" s="9" t="s">
        <v>40</v>
      </c>
      <c r="X17" s="9" t="s">
        <v>345</v>
      </c>
      <c r="Y17" s="149" t="s">
        <v>35</v>
      </c>
      <c r="Z17" s="147">
        <f t="shared" si="4"/>
        <v>8.07</v>
      </c>
      <c r="AA17" s="151" t="str" cm="1">
        <f t="array" ref="AA17">_xlfn.IFS( Z17&gt;=9, "A+", Z17&gt;=8.5, "A", Z17&gt;=8, "B+", Z17&gt;=7, "B", Z17&gt;=6.5, "C+", Z17&gt;=5.5, "C", Z17&gt;=5, "D+", Z17&gt;=4, "D", Z17&lt;4, "F" )</f>
        <v>B+</v>
      </c>
      <c r="AC17" s="145" t="s">
        <v>655</v>
      </c>
      <c r="AD17" s="145">
        <f>COUNTIF(AA10:AA82,AC17)</f>
        <v>6</v>
      </c>
      <c r="AE17" s="146">
        <f t="shared" si="5"/>
        <v>8.2191780821917799</v>
      </c>
    </row>
    <row r="18" spans="1:31" ht="20.25" customHeight="1" x14ac:dyDescent="0.3">
      <c r="A18" s="1">
        <v>592</v>
      </c>
      <c r="B18" s="6">
        <f>IF(LEN(C18=0),SUBTOTAL(3,$C$10:C18),"")</f>
        <v>9</v>
      </c>
      <c r="C18" s="54" t="s">
        <v>172</v>
      </c>
      <c r="D18" s="55" t="s">
        <v>503</v>
      </c>
      <c r="E18" s="56" t="s">
        <v>378</v>
      </c>
      <c r="F18" s="54" t="s">
        <v>413</v>
      </c>
      <c r="G18" s="57">
        <v>10</v>
      </c>
      <c r="H18" s="57">
        <v>8</v>
      </c>
      <c r="I18" s="64" t="s">
        <v>0</v>
      </c>
      <c r="J18" s="57">
        <v>7.5</v>
      </c>
      <c r="K18" s="10"/>
      <c r="L18" s="68">
        <v>8.5</v>
      </c>
      <c r="M18" s="69" t="str">
        <f>IFERROR(LOOKUP(INT(L18),Sheet1!$A$2:$A$12,Sheet1!$B$2:$B$12)&amp;" phẩy "&amp;(LOOKUP(ROUND(L18-INT(L18),1)*10,Sheet1!$A$2:$A$12,Sheet1!$C$2:$C$12)),"")</f>
        <v>Tám phẩy năm</v>
      </c>
      <c r="N18" s="41"/>
      <c r="O18" s="20" t="s">
        <v>0</v>
      </c>
      <c r="P18" s="7">
        <f t="shared" si="0"/>
        <v>3.3</v>
      </c>
      <c r="Q18" s="8" t="str">
        <f t="shared" si="1"/>
        <v/>
      </c>
      <c r="R18" s="39" t="str">
        <f t="shared" si="2"/>
        <v>09</v>
      </c>
      <c r="S18" s="8" t="str">
        <f t="shared" si="3"/>
        <v/>
      </c>
      <c r="T18" s="9" t="s">
        <v>3</v>
      </c>
      <c r="U18" s="137" t="s">
        <v>4</v>
      </c>
      <c r="V18" s="138" t="s">
        <v>575</v>
      </c>
      <c r="W18" s="9" t="s">
        <v>40</v>
      </c>
      <c r="X18" s="9" t="s">
        <v>345</v>
      </c>
      <c r="Y18" s="149" t="s">
        <v>35</v>
      </c>
      <c r="Z18" s="147">
        <f t="shared" si="4"/>
        <v>8.3999999999999986</v>
      </c>
      <c r="AA18" s="151" t="str" cm="1">
        <f t="array" ref="AA18">_xlfn.IFS( Z18&gt;=9, "A+", Z18&gt;=8.5, "A", Z18&gt;=8, "B+", Z18&gt;=7, "B", Z18&gt;=6.5, "C+", Z18&gt;=5.5, "C", Z18&gt;=5, "D+", Z18&gt;=4, "D", Z18&lt;4, "F" )</f>
        <v>B+</v>
      </c>
      <c r="AC18" s="145" t="s">
        <v>657</v>
      </c>
      <c r="AD18" s="145">
        <f>COUNTIF(AA10:AA82,AC18)</f>
        <v>2</v>
      </c>
      <c r="AE18" s="146">
        <f t="shared" si="5"/>
        <v>2.7397260273972601</v>
      </c>
    </row>
    <row r="19" spans="1:31" ht="20.25" customHeight="1" x14ac:dyDescent="0.3">
      <c r="A19" s="1">
        <v>593</v>
      </c>
      <c r="B19" s="6">
        <f>IF(LEN(C19=0),SUBTOTAL(3,$C$10:C19),"")</f>
        <v>10</v>
      </c>
      <c r="C19" s="54" t="s">
        <v>215</v>
      </c>
      <c r="D19" s="55" t="s">
        <v>484</v>
      </c>
      <c r="E19" s="56" t="s">
        <v>378</v>
      </c>
      <c r="F19" s="54" t="s">
        <v>359</v>
      </c>
      <c r="G19" s="57">
        <v>8</v>
      </c>
      <c r="H19" s="57">
        <v>8</v>
      </c>
      <c r="I19" s="64" t="s">
        <v>0</v>
      </c>
      <c r="J19" s="57">
        <v>7.5</v>
      </c>
      <c r="K19" s="10"/>
      <c r="L19" s="68">
        <v>6.8</v>
      </c>
      <c r="M19" s="69" t="str">
        <f>IFERROR(LOOKUP(INT(L19),Sheet1!$A$2:$A$12,Sheet1!$B$2:$B$12)&amp;" phẩy "&amp;(LOOKUP(ROUND(L19-INT(L19),1)*10,Sheet1!$A$2:$A$12,Sheet1!$C$2:$C$12)),"")</f>
        <v>Sáu phẩy tám</v>
      </c>
      <c r="N19" s="41"/>
      <c r="O19" s="20" t="s">
        <v>0</v>
      </c>
      <c r="P19" s="7">
        <f t="shared" si="0"/>
        <v>3.1</v>
      </c>
      <c r="Q19" s="8" t="str">
        <f t="shared" si="1"/>
        <v/>
      </c>
      <c r="R19" s="39" t="str">
        <f t="shared" si="2"/>
        <v>09</v>
      </c>
      <c r="S19" s="8" t="str">
        <f t="shared" si="3"/>
        <v/>
      </c>
      <c r="T19" s="9" t="s">
        <v>3</v>
      </c>
      <c r="U19" s="137" t="s">
        <v>4</v>
      </c>
      <c r="V19" s="138" t="s">
        <v>575</v>
      </c>
      <c r="W19" s="9" t="s">
        <v>40</v>
      </c>
      <c r="X19" s="9" t="s">
        <v>345</v>
      </c>
      <c r="Y19" s="149" t="s">
        <v>35</v>
      </c>
      <c r="Z19" s="147">
        <f t="shared" si="4"/>
        <v>7.18</v>
      </c>
      <c r="AA19" s="151" t="str" cm="1">
        <f t="array" ref="AA19">_xlfn.IFS( Z19&gt;=9, "A+", Z19&gt;=8.5, "A", Z19&gt;=8, "B+", Z19&gt;=7, "B", Z19&gt;=6.5, "C+", Z19&gt;=5.5, "C", Z19&gt;=5, "D+", Z19&gt;=4, "D", Z19&lt;4, "F" )</f>
        <v>B</v>
      </c>
      <c r="AC19" s="145" t="s">
        <v>656</v>
      </c>
      <c r="AD19" s="145">
        <f>COUNTIF(AA10:AA82,AC19)</f>
        <v>0</v>
      </c>
      <c r="AE19" s="146">
        <f t="shared" si="5"/>
        <v>0</v>
      </c>
    </row>
    <row r="20" spans="1:31" ht="20.25" customHeight="1" x14ac:dyDescent="0.3">
      <c r="A20" s="1">
        <v>594</v>
      </c>
      <c r="B20" s="6">
        <f>IF(LEN(C20=0),SUBTOTAL(3,$C$10:C20),"")</f>
        <v>11</v>
      </c>
      <c r="C20" s="54" t="s">
        <v>205</v>
      </c>
      <c r="D20" s="55" t="s">
        <v>405</v>
      </c>
      <c r="E20" s="56" t="s">
        <v>378</v>
      </c>
      <c r="F20" s="54" t="s">
        <v>413</v>
      </c>
      <c r="G20" s="57">
        <v>9</v>
      </c>
      <c r="H20" s="57">
        <v>8</v>
      </c>
      <c r="I20" s="64" t="s">
        <v>0</v>
      </c>
      <c r="J20" s="57">
        <v>7.5</v>
      </c>
      <c r="K20" s="10"/>
      <c r="L20" s="68">
        <v>8</v>
      </c>
      <c r="M20" s="69" t="str">
        <f>IFERROR(LOOKUP(INT(L20),Sheet1!$A$2:$A$12,Sheet1!$B$2:$B$12)&amp;" phẩy "&amp;(LOOKUP(ROUND(L20-INT(L20),1)*10,Sheet1!$A$2:$A$12,Sheet1!$C$2:$C$12)),"")</f>
        <v>Tám phẩy không</v>
      </c>
      <c r="N20" s="41"/>
      <c r="O20" s="20" t="s">
        <v>0</v>
      </c>
      <c r="P20" s="7">
        <f t="shared" si="0"/>
        <v>3.2</v>
      </c>
      <c r="Q20" s="8" t="str">
        <f t="shared" si="1"/>
        <v/>
      </c>
      <c r="R20" s="39" t="str">
        <f t="shared" si="2"/>
        <v>09</v>
      </c>
      <c r="S20" s="8" t="str">
        <f t="shared" si="3"/>
        <v/>
      </c>
      <c r="T20" s="9" t="s">
        <v>3</v>
      </c>
      <c r="U20" s="137" t="s">
        <v>4</v>
      </c>
      <c r="V20" s="138" t="s">
        <v>575</v>
      </c>
      <c r="W20" s="9" t="s">
        <v>40</v>
      </c>
      <c r="X20" s="9" t="s">
        <v>345</v>
      </c>
      <c r="Y20" s="149" t="s">
        <v>35</v>
      </c>
      <c r="Z20" s="147">
        <f t="shared" si="4"/>
        <v>8</v>
      </c>
      <c r="AA20" s="151" t="str" cm="1">
        <f t="array" ref="AA20">_xlfn.IFS( Z20&gt;=9, "A+", Z20&gt;=8.5, "A", Z20&gt;=8, "B+", Z20&gt;=7, "B", Z20&gt;=6.5, "C+", Z20&gt;=5.5, "C", Z20&gt;=5, "D+", Z20&gt;=4, "D", Z20&lt;4, "F" )</f>
        <v>B+</v>
      </c>
      <c r="AC20" s="145" t="s">
        <v>658</v>
      </c>
      <c r="AD20" s="145">
        <f>COUNTIF(AA10:AA82,AC20)</f>
        <v>4</v>
      </c>
      <c r="AE20" s="146">
        <f t="shared" si="5"/>
        <v>5.4794520547945202</v>
      </c>
    </row>
    <row r="21" spans="1:31" ht="20.25" customHeight="1" x14ac:dyDescent="0.3">
      <c r="A21" s="1">
        <v>595</v>
      </c>
      <c r="B21" s="6">
        <f>IF(LEN(C21=0),SUBTOTAL(3,$C$10:C21),"")</f>
        <v>12</v>
      </c>
      <c r="C21" s="54" t="s">
        <v>246</v>
      </c>
      <c r="D21" s="55" t="s">
        <v>524</v>
      </c>
      <c r="E21" s="56" t="s">
        <v>381</v>
      </c>
      <c r="F21" s="54" t="s">
        <v>400</v>
      </c>
      <c r="G21" s="57">
        <v>9</v>
      </c>
      <c r="H21" s="57">
        <v>7.5</v>
      </c>
      <c r="I21" s="64" t="s">
        <v>0</v>
      </c>
      <c r="J21" s="57">
        <v>8.5</v>
      </c>
      <c r="K21" s="10"/>
      <c r="L21" s="68">
        <v>8.1999999999999993</v>
      </c>
      <c r="M21" s="69" t="str">
        <f>IFERROR(LOOKUP(INT(L21),Sheet1!$A$2:$A$12,Sheet1!$B$2:$B$12)&amp;" phẩy "&amp;(LOOKUP(ROUND(L21-INT(L21),1)*10,Sheet1!$A$2:$A$12,Sheet1!$C$2:$C$12)),"")</f>
        <v>Tám phẩy hai</v>
      </c>
      <c r="N21" s="41"/>
      <c r="O21" s="20" t="s">
        <v>0</v>
      </c>
      <c r="P21" s="7">
        <f t="shared" si="0"/>
        <v>3.4</v>
      </c>
      <c r="Q21" s="8" t="str">
        <f t="shared" si="1"/>
        <v/>
      </c>
      <c r="R21" s="39" t="str">
        <f t="shared" si="2"/>
        <v>09</v>
      </c>
      <c r="S21" s="8" t="str">
        <f t="shared" si="3"/>
        <v/>
      </c>
      <c r="T21" s="9" t="s">
        <v>3</v>
      </c>
      <c r="U21" s="137" t="s">
        <v>4</v>
      </c>
      <c r="V21" s="138" t="s">
        <v>575</v>
      </c>
      <c r="W21" s="9" t="s">
        <v>40</v>
      </c>
      <c r="X21" s="9" t="s">
        <v>345</v>
      </c>
      <c r="Y21" s="149" t="s">
        <v>35</v>
      </c>
      <c r="Z21" s="147">
        <f t="shared" si="4"/>
        <v>8.27</v>
      </c>
      <c r="AA21" s="151" t="str" cm="1">
        <f t="array" ref="AA21">_xlfn.IFS( Z21&gt;=9, "A+", Z21&gt;=8.5, "A", Z21&gt;=8, "B+", Z21&gt;=7, "B", Z21&gt;=6.5, "C+", Z21&gt;=5.5, "C", Z21&gt;=5, "D+", Z21&gt;=4, "D", Z21&lt;4, "F" )</f>
        <v>B+</v>
      </c>
      <c r="AC21" s="145"/>
      <c r="AD21" s="145">
        <f>SUM(AD12:AD20)</f>
        <v>73</v>
      </c>
      <c r="AE21" s="145">
        <f>SUM(AE12:AE20)</f>
        <v>99.999999999999986</v>
      </c>
    </row>
    <row r="22" spans="1:31" ht="20.25" customHeight="1" x14ac:dyDescent="0.3">
      <c r="A22" s="1">
        <v>596</v>
      </c>
      <c r="B22" s="6">
        <f>IF(LEN(C22=0),SUBTOTAL(3,$C$10:C22),"")</f>
        <v>13</v>
      </c>
      <c r="C22" s="54" t="s">
        <v>183</v>
      </c>
      <c r="D22" s="55" t="s">
        <v>485</v>
      </c>
      <c r="E22" s="56" t="s">
        <v>381</v>
      </c>
      <c r="F22" s="54" t="s">
        <v>385</v>
      </c>
      <c r="G22" s="57">
        <v>9</v>
      </c>
      <c r="H22" s="57">
        <v>7.5</v>
      </c>
      <c r="I22" s="64" t="s">
        <v>0</v>
      </c>
      <c r="J22" s="57">
        <v>7</v>
      </c>
      <c r="K22" s="10"/>
      <c r="L22" s="68">
        <v>8.5</v>
      </c>
      <c r="M22" s="69" t="str">
        <f>IFERROR(LOOKUP(INT(L22),Sheet1!$A$2:$A$12,Sheet1!$B$2:$B$12)&amp;" phẩy "&amp;(LOOKUP(ROUND(L22-INT(L22),1)*10,Sheet1!$A$2:$A$12,Sheet1!$C$2:$C$12)),"")</f>
        <v>Tám phẩy năm</v>
      </c>
      <c r="N22" s="41"/>
      <c r="O22" s="20" t="s">
        <v>0</v>
      </c>
      <c r="P22" s="7">
        <f t="shared" si="0"/>
        <v>3.1</v>
      </c>
      <c r="Q22" s="8" t="str">
        <f t="shared" si="1"/>
        <v/>
      </c>
      <c r="R22" s="39" t="str">
        <f t="shared" si="2"/>
        <v>09</v>
      </c>
      <c r="S22" s="8" t="str">
        <f t="shared" si="3"/>
        <v/>
      </c>
      <c r="T22" s="9" t="s">
        <v>3</v>
      </c>
      <c r="U22" s="137" t="s">
        <v>4</v>
      </c>
      <c r="V22" s="138" t="s">
        <v>575</v>
      </c>
      <c r="W22" s="9" t="s">
        <v>40</v>
      </c>
      <c r="X22" s="9" t="s">
        <v>345</v>
      </c>
      <c r="Y22" s="149" t="s">
        <v>35</v>
      </c>
      <c r="Z22" s="147">
        <f t="shared" si="4"/>
        <v>8.1499999999999986</v>
      </c>
      <c r="AA22" s="151" t="str" cm="1">
        <f t="array" ref="AA22">_xlfn.IFS( Z22&gt;=9, "A+", Z22&gt;=8.5, "A", Z22&gt;=8, "B+", Z22&gt;=7, "B", Z22&gt;=6.5, "C+", Z22&gt;=5.5, "C", Z22&gt;=5, "D+", Z22&gt;=4, "D", Z22&lt;4, "F" )</f>
        <v>B+</v>
      </c>
    </row>
    <row r="23" spans="1:31" ht="20.25" customHeight="1" x14ac:dyDescent="0.3">
      <c r="A23" s="1">
        <v>597</v>
      </c>
      <c r="B23" s="6">
        <f>IF(LEN(C23=0),SUBTOTAL(3,$C$10:C23),"")</f>
        <v>14</v>
      </c>
      <c r="C23" s="54" t="s">
        <v>216</v>
      </c>
      <c r="D23" s="55" t="s">
        <v>416</v>
      </c>
      <c r="E23" s="56" t="s">
        <v>381</v>
      </c>
      <c r="F23" s="54" t="s">
        <v>413</v>
      </c>
      <c r="G23" s="57">
        <v>10</v>
      </c>
      <c r="H23" s="57">
        <v>3</v>
      </c>
      <c r="I23" s="64" t="s">
        <v>0</v>
      </c>
      <c r="J23" s="57">
        <v>3</v>
      </c>
      <c r="K23" s="10"/>
      <c r="L23" s="68">
        <v>7.2</v>
      </c>
      <c r="M23" s="69" t="str">
        <f>IFERROR(LOOKUP(INT(L23),Sheet1!$A$2:$A$12,Sheet1!$B$2:$B$12)&amp;" phẩy "&amp;(LOOKUP(ROUND(L23-INT(L23),1)*10,Sheet1!$A$2:$A$12,Sheet1!$C$2:$C$12)),"")</f>
        <v>Bảy phẩy hai</v>
      </c>
      <c r="N23" s="41"/>
      <c r="O23" s="20" t="s">
        <v>0</v>
      </c>
      <c r="P23" s="7">
        <f t="shared" si="0"/>
        <v>1.9</v>
      </c>
      <c r="Q23" s="8" t="str">
        <f t="shared" si="1"/>
        <v/>
      </c>
      <c r="R23" s="39" t="str">
        <f t="shared" si="2"/>
        <v>09</v>
      </c>
      <c r="S23" s="8" t="str">
        <f t="shared" si="3"/>
        <v/>
      </c>
      <c r="T23" s="9" t="s">
        <v>3</v>
      </c>
      <c r="U23" s="137" t="s">
        <v>4</v>
      </c>
      <c r="V23" s="138" t="s">
        <v>575</v>
      </c>
      <c r="W23" s="9" t="s">
        <v>40</v>
      </c>
      <c r="X23" s="9" t="s">
        <v>345</v>
      </c>
      <c r="Y23" s="149" t="s">
        <v>35</v>
      </c>
      <c r="Z23" s="147">
        <f t="shared" si="4"/>
        <v>6.2200000000000006</v>
      </c>
      <c r="AA23" s="151" t="str" cm="1">
        <f t="array" ref="AA23">_xlfn.IFS( Z23&gt;=9, "A+", Z23&gt;=8.5, "A", Z23&gt;=8, "B+", Z23&gt;=7, "B", Z23&gt;=6.5, "C+", Z23&gt;=5.5, "C", Z23&gt;=5, "D+", Z23&gt;=4, "D", Z23&lt;4, "F" )</f>
        <v>C</v>
      </c>
    </row>
    <row r="24" spans="1:31" ht="20.25" customHeight="1" x14ac:dyDescent="0.3">
      <c r="A24" s="1">
        <v>598</v>
      </c>
      <c r="B24" s="6">
        <f>IF(LEN(C24=0),SUBTOTAL(3,$C$10:C24),"")</f>
        <v>15</v>
      </c>
      <c r="C24" s="54" t="s">
        <v>199</v>
      </c>
      <c r="D24" s="55" t="s">
        <v>499</v>
      </c>
      <c r="E24" s="56" t="s">
        <v>383</v>
      </c>
      <c r="F24" s="54" t="s">
        <v>366</v>
      </c>
      <c r="G24" s="57">
        <v>7</v>
      </c>
      <c r="H24" s="57">
        <v>8</v>
      </c>
      <c r="I24" s="64" t="s">
        <v>0</v>
      </c>
      <c r="J24" s="57">
        <v>7</v>
      </c>
      <c r="K24" s="10"/>
      <c r="L24" s="68">
        <v>8</v>
      </c>
      <c r="M24" s="69" t="str">
        <f>IFERROR(LOOKUP(INT(L24),Sheet1!$A$2:$A$12,Sheet1!$B$2:$B$12)&amp;" phẩy "&amp;(LOOKUP(ROUND(L24-INT(L24),1)*10,Sheet1!$A$2:$A$12,Sheet1!$C$2:$C$12)),"")</f>
        <v>Tám phẩy không</v>
      </c>
      <c r="N24" s="41"/>
      <c r="O24" s="20" t="s">
        <v>0</v>
      </c>
      <c r="P24" s="7">
        <f t="shared" si="0"/>
        <v>2.9</v>
      </c>
      <c r="Q24" s="8" t="str">
        <f t="shared" si="1"/>
        <v/>
      </c>
      <c r="R24" s="39" t="str">
        <f t="shared" si="2"/>
        <v>09</v>
      </c>
      <c r="S24" s="8" t="str">
        <f t="shared" si="3"/>
        <v/>
      </c>
      <c r="T24" s="9" t="s">
        <v>3</v>
      </c>
      <c r="U24" s="137" t="s">
        <v>4</v>
      </c>
      <c r="V24" s="138" t="s">
        <v>575</v>
      </c>
      <c r="W24" s="9" t="s">
        <v>40</v>
      </c>
      <c r="X24" s="9" t="s">
        <v>345</v>
      </c>
      <c r="Y24" s="149" t="s">
        <v>35</v>
      </c>
      <c r="Z24" s="147">
        <f t="shared" si="4"/>
        <v>7.7</v>
      </c>
      <c r="AA24" s="151" t="str" cm="1">
        <f t="array" ref="AA24">_xlfn.IFS( Z24&gt;=9, "A+", Z24&gt;=8.5, "A", Z24&gt;=8, "B+", Z24&gt;=7, "B", Z24&gt;=6.5, "C+", Z24&gt;=5.5, "C", Z24&gt;=5, "D+", Z24&gt;=4, "D", Z24&lt;4, "F" )</f>
        <v>B</v>
      </c>
    </row>
    <row r="25" spans="1:31" ht="20.25" customHeight="1" x14ac:dyDescent="0.3">
      <c r="A25" s="1">
        <v>599</v>
      </c>
      <c r="B25" s="6">
        <f>IF(LEN(C25=0),SUBTOTAL(3,$C$10:C25),"")</f>
        <v>16</v>
      </c>
      <c r="C25" s="54" t="s">
        <v>242</v>
      </c>
      <c r="D25" s="55" t="s">
        <v>525</v>
      </c>
      <c r="E25" s="56" t="s">
        <v>526</v>
      </c>
      <c r="F25" s="54" t="s">
        <v>359</v>
      </c>
      <c r="G25" s="57">
        <v>9</v>
      </c>
      <c r="H25" s="57">
        <v>7.5</v>
      </c>
      <c r="I25" s="64" t="s">
        <v>0</v>
      </c>
      <c r="J25" s="57">
        <v>8.5</v>
      </c>
      <c r="K25" s="10"/>
      <c r="L25" s="68">
        <v>7.8</v>
      </c>
      <c r="M25" s="69" t="str">
        <f>IFERROR(LOOKUP(INT(L25),Sheet1!$A$2:$A$12,Sheet1!$B$2:$B$12)&amp;" phẩy "&amp;(LOOKUP(ROUND(L25-INT(L25),1)*10,Sheet1!$A$2:$A$12,Sheet1!$C$2:$C$12)),"")</f>
        <v>Bảy phẩy tám</v>
      </c>
      <c r="N25" s="41"/>
      <c r="O25" s="20" t="s">
        <v>0</v>
      </c>
      <c r="P25" s="7">
        <f t="shared" si="0"/>
        <v>3.4</v>
      </c>
      <c r="Q25" s="8" t="str">
        <f t="shared" si="1"/>
        <v/>
      </c>
      <c r="R25" s="39" t="str">
        <f t="shared" si="2"/>
        <v>09</v>
      </c>
      <c r="S25" s="8" t="str">
        <f t="shared" si="3"/>
        <v/>
      </c>
      <c r="T25" s="9" t="s">
        <v>3</v>
      </c>
      <c r="U25" s="137" t="s">
        <v>4</v>
      </c>
      <c r="V25" s="138" t="s">
        <v>575</v>
      </c>
      <c r="W25" s="9" t="s">
        <v>40</v>
      </c>
      <c r="X25" s="9" t="s">
        <v>345</v>
      </c>
      <c r="Y25" s="149" t="s">
        <v>35</v>
      </c>
      <c r="Z25" s="147">
        <f t="shared" si="4"/>
        <v>8.0299999999999994</v>
      </c>
      <c r="AA25" s="151" t="str" cm="1">
        <f t="array" ref="AA25">_xlfn.IFS( Z25&gt;=9, "A+", Z25&gt;=8.5, "A", Z25&gt;=8, "B+", Z25&gt;=7, "B", Z25&gt;=6.5, "C+", Z25&gt;=5.5, "C", Z25&gt;=5, "D+", Z25&gt;=4, "D", Z25&lt;4, "F" )</f>
        <v>B+</v>
      </c>
    </row>
    <row r="26" spans="1:31" ht="20.25" customHeight="1" x14ac:dyDescent="0.3">
      <c r="A26" s="1">
        <v>600</v>
      </c>
      <c r="B26" s="6">
        <f>IF(LEN(C26=0),SUBTOTAL(3,$C$10:C26),"")</f>
        <v>17</v>
      </c>
      <c r="C26" s="54" t="s">
        <v>248</v>
      </c>
      <c r="D26" s="55" t="s">
        <v>493</v>
      </c>
      <c r="E26" s="56" t="s">
        <v>483</v>
      </c>
      <c r="F26" s="54" t="s">
        <v>413</v>
      </c>
      <c r="G26" s="57">
        <v>2</v>
      </c>
      <c r="H26" s="57">
        <v>1</v>
      </c>
      <c r="I26" s="64" t="s">
        <v>0</v>
      </c>
      <c r="J26" s="57">
        <v>1</v>
      </c>
      <c r="K26" s="10"/>
      <c r="L26" s="68">
        <v>0</v>
      </c>
      <c r="M26" s="69" t="str">
        <f>IFERROR(LOOKUP(INT(L26),Sheet1!$A$2:$A$12,Sheet1!$B$2:$B$12)&amp;" phẩy "&amp;(LOOKUP(ROUND(L26-INT(L26),1)*10,Sheet1!$A$2:$A$12,Sheet1!$C$2:$C$12)),"")</f>
        <v>Không phẩy không</v>
      </c>
      <c r="N26" s="41"/>
      <c r="O26" s="20" t="s">
        <v>0</v>
      </c>
      <c r="P26" s="7">
        <f t="shared" si="0"/>
        <v>0.5</v>
      </c>
      <c r="Q26" s="8" t="str">
        <f t="shared" si="1"/>
        <v>Không đủ ĐKDT</v>
      </c>
      <c r="R26" s="39" t="str">
        <f t="shared" si="2"/>
        <v>09</v>
      </c>
      <c r="S26" s="8" t="str">
        <f t="shared" si="3"/>
        <v>Nợ HP</v>
      </c>
      <c r="T26" s="9" t="s">
        <v>3</v>
      </c>
      <c r="U26" s="137" t="s">
        <v>4</v>
      </c>
      <c r="V26" s="138" t="s">
        <v>575</v>
      </c>
      <c r="W26" s="9" t="s">
        <v>40</v>
      </c>
      <c r="X26" s="9" t="s">
        <v>345</v>
      </c>
      <c r="Y26" s="149" t="s">
        <v>35</v>
      </c>
      <c r="Z26" s="147">
        <f t="shared" si="4"/>
        <v>0.5</v>
      </c>
      <c r="AA26" s="151" t="str" cm="1">
        <f t="array" ref="AA26">_xlfn.IFS( Z26&gt;=9, "A+", Z26&gt;=8.5, "A", Z26&gt;=8, "B+", Z26&gt;=7, "B", Z26&gt;=6.5, "C+", Z26&gt;=5.5, "C", Z26&gt;=5, "D+", Z26&gt;=4, "D", Z26&lt;4, "F" )</f>
        <v>F</v>
      </c>
    </row>
    <row r="27" spans="1:31" ht="20.25" customHeight="1" x14ac:dyDescent="0.3">
      <c r="A27" s="1">
        <v>601</v>
      </c>
      <c r="B27" s="6">
        <f>IF(LEN(C27=0),SUBTOTAL(3,$C$10:C27),"")</f>
        <v>18</v>
      </c>
      <c r="C27" s="54" t="s">
        <v>101</v>
      </c>
      <c r="D27" s="55" t="s">
        <v>511</v>
      </c>
      <c r="E27" s="56" t="s">
        <v>483</v>
      </c>
      <c r="F27" s="54" t="s">
        <v>413</v>
      </c>
      <c r="G27" s="57">
        <v>8</v>
      </c>
      <c r="H27" s="57">
        <v>8</v>
      </c>
      <c r="I27" s="64" t="s">
        <v>0</v>
      </c>
      <c r="J27" s="57">
        <v>7.5</v>
      </c>
      <c r="K27" s="10"/>
      <c r="L27" s="68">
        <v>6.3</v>
      </c>
      <c r="M27" s="69" t="str">
        <f>IFERROR(LOOKUP(INT(L27),Sheet1!$A$2:$A$12,Sheet1!$B$2:$B$12)&amp;" phẩy "&amp;(LOOKUP(ROUND(L27-INT(L27),1)*10,Sheet1!$A$2:$A$12,Sheet1!$C$2:$C$12)),"")</f>
        <v>Sáu phẩy ba</v>
      </c>
      <c r="N27" s="41"/>
      <c r="O27" s="20" t="s">
        <v>0</v>
      </c>
      <c r="P27" s="7">
        <f t="shared" si="0"/>
        <v>3.1</v>
      </c>
      <c r="Q27" s="8" t="str">
        <f t="shared" si="1"/>
        <v/>
      </c>
      <c r="R27" s="39" t="str">
        <f t="shared" si="2"/>
        <v>09</v>
      </c>
      <c r="S27" s="8" t="str">
        <f t="shared" si="3"/>
        <v/>
      </c>
      <c r="T27" s="9" t="s">
        <v>3</v>
      </c>
      <c r="U27" s="137" t="s">
        <v>4</v>
      </c>
      <c r="V27" s="138" t="s">
        <v>575</v>
      </c>
      <c r="W27" s="9" t="s">
        <v>40</v>
      </c>
      <c r="X27" s="9" t="s">
        <v>345</v>
      </c>
      <c r="Y27" s="149" t="s">
        <v>35</v>
      </c>
      <c r="Z27" s="147">
        <f t="shared" si="4"/>
        <v>6.88</v>
      </c>
      <c r="AA27" s="151" t="str" cm="1">
        <f t="array" ref="AA27">_xlfn.IFS( Z27&gt;=9, "A+", Z27&gt;=8.5, "A", Z27&gt;=8, "B+", Z27&gt;=7, "B", Z27&gt;=6.5, "C+", Z27&gt;=5.5, "C", Z27&gt;=5, "D+", Z27&gt;=4, "D", Z27&lt;4, "F" )</f>
        <v>C+</v>
      </c>
    </row>
    <row r="28" spans="1:31" ht="20.25" customHeight="1" x14ac:dyDescent="0.3">
      <c r="A28" s="1">
        <v>602</v>
      </c>
      <c r="B28" s="6">
        <f>IF(LEN(C28=0),SUBTOTAL(3,$C$10:C28),"")</f>
        <v>19</v>
      </c>
      <c r="C28" s="54" t="s">
        <v>125</v>
      </c>
      <c r="D28" s="55" t="s">
        <v>489</v>
      </c>
      <c r="E28" s="56" t="s">
        <v>483</v>
      </c>
      <c r="F28" s="54" t="s">
        <v>366</v>
      </c>
      <c r="G28" s="57">
        <v>10</v>
      </c>
      <c r="H28" s="57">
        <v>8.5</v>
      </c>
      <c r="I28" s="64" t="s">
        <v>0</v>
      </c>
      <c r="J28" s="57">
        <v>9</v>
      </c>
      <c r="K28" s="10"/>
      <c r="L28" s="68">
        <v>8.1999999999999993</v>
      </c>
      <c r="M28" s="69" t="str">
        <f>IFERROR(LOOKUP(INT(L28),Sheet1!$A$2:$A$12,Sheet1!$B$2:$B$12)&amp;" phẩy "&amp;(LOOKUP(ROUND(L28-INT(L28),1)*10,Sheet1!$A$2:$A$12,Sheet1!$C$2:$C$12)),"")</f>
        <v>Tám phẩy hai</v>
      </c>
      <c r="N28" s="41"/>
      <c r="O28" s="20" t="s">
        <v>0</v>
      </c>
      <c r="P28" s="7">
        <f t="shared" si="0"/>
        <v>3.7</v>
      </c>
      <c r="Q28" s="8" t="str">
        <f t="shared" si="1"/>
        <v/>
      </c>
      <c r="R28" s="39" t="str">
        <f t="shared" si="2"/>
        <v>09</v>
      </c>
      <c r="S28" s="8" t="str">
        <f t="shared" si="3"/>
        <v/>
      </c>
      <c r="T28" s="9" t="s">
        <v>3</v>
      </c>
      <c r="U28" s="137" t="s">
        <v>4</v>
      </c>
      <c r="V28" s="138" t="s">
        <v>575</v>
      </c>
      <c r="W28" s="9" t="s">
        <v>40</v>
      </c>
      <c r="X28" s="9" t="s">
        <v>345</v>
      </c>
      <c r="Y28" s="149" t="s">
        <v>35</v>
      </c>
      <c r="Z28" s="147">
        <f t="shared" si="4"/>
        <v>8.57</v>
      </c>
      <c r="AA28" s="151" t="str" cm="1">
        <f t="array" ref="AA28">_xlfn.IFS( Z28&gt;=9, "A+", Z28&gt;=8.5, "A", Z28&gt;=8, "B+", Z28&gt;=7, "B", Z28&gt;=6.5, "C+", Z28&gt;=5.5, "C", Z28&gt;=5, "D+", Z28&gt;=4, "D", Z28&lt;4, "F" )</f>
        <v>A</v>
      </c>
    </row>
    <row r="29" spans="1:31" ht="20.25" customHeight="1" x14ac:dyDescent="0.3">
      <c r="A29" s="1">
        <v>603</v>
      </c>
      <c r="B29" s="6">
        <f>IF(LEN(C29=0),SUBTOTAL(3,$C$10:C29),"")</f>
        <v>20</v>
      </c>
      <c r="C29" s="54" t="s">
        <v>192</v>
      </c>
      <c r="D29" s="55" t="s">
        <v>527</v>
      </c>
      <c r="E29" s="56" t="s">
        <v>387</v>
      </c>
      <c r="F29" s="54" t="s">
        <v>413</v>
      </c>
      <c r="G29" s="57">
        <v>10</v>
      </c>
      <c r="H29" s="57">
        <v>8</v>
      </c>
      <c r="I29" s="64" t="s">
        <v>0</v>
      </c>
      <c r="J29" s="57">
        <v>7.5</v>
      </c>
      <c r="K29" s="10"/>
      <c r="L29" s="68">
        <v>8.1999999999999993</v>
      </c>
      <c r="M29" s="69" t="str">
        <f>IFERROR(LOOKUP(INT(L29),Sheet1!$A$2:$A$12,Sheet1!$B$2:$B$12)&amp;" phẩy "&amp;(LOOKUP(ROUND(L29-INT(L29),1)*10,Sheet1!$A$2:$A$12,Sheet1!$C$2:$C$12)),"")</f>
        <v>Tám phẩy hai</v>
      </c>
      <c r="N29" s="41"/>
      <c r="O29" s="20" t="s">
        <v>0</v>
      </c>
      <c r="P29" s="7">
        <f t="shared" si="0"/>
        <v>3.3</v>
      </c>
      <c r="Q29" s="8" t="str">
        <f t="shared" si="1"/>
        <v/>
      </c>
      <c r="R29" s="39" t="str">
        <f t="shared" si="2"/>
        <v>09</v>
      </c>
      <c r="S29" s="8" t="str">
        <f t="shared" si="3"/>
        <v/>
      </c>
      <c r="T29" s="9" t="s">
        <v>3</v>
      </c>
      <c r="U29" s="137" t="s">
        <v>4</v>
      </c>
      <c r="V29" s="138" t="s">
        <v>575</v>
      </c>
      <c r="W29" s="9" t="s">
        <v>40</v>
      </c>
      <c r="X29" s="9" t="s">
        <v>345</v>
      </c>
      <c r="Y29" s="149" t="s">
        <v>35</v>
      </c>
      <c r="Z29" s="147">
        <f t="shared" si="4"/>
        <v>8.2199999999999989</v>
      </c>
      <c r="AA29" s="151" t="str" cm="1">
        <f t="array" ref="AA29">_xlfn.IFS( Z29&gt;=9, "A+", Z29&gt;=8.5, "A", Z29&gt;=8, "B+", Z29&gt;=7, "B", Z29&gt;=6.5, "C+", Z29&gt;=5.5, "C", Z29&gt;=5, "D+", Z29&gt;=4, "D", Z29&lt;4, "F" )</f>
        <v>B+</v>
      </c>
    </row>
    <row r="30" spans="1:31" ht="20.25" customHeight="1" x14ac:dyDescent="0.3">
      <c r="A30" s="1">
        <v>604</v>
      </c>
      <c r="B30" s="6">
        <f>IF(LEN(C30=0),SUBTOTAL(3,$C$10:C30),"")</f>
        <v>21</v>
      </c>
      <c r="C30" s="54" t="s">
        <v>225</v>
      </c>
      <c r="D30" s="55" t="s">
        <v>528</v>
      </c>
      <c r="E30" s="56" t="s">
        <v>492</v>
      </c>
      <c r="F30" s="54" t="s">
        <v>385</v>
      </c>
      <c r="G30" s="57">
        <v>7</v>
      </c>
      <c r="H30" s="57">
        <v>7.5</v>
      </c>
      <c r="I30" s="64" t="s">
        <v>0</v>
      </c>
      <c r="J30" s="57">
        <v>7</v>
      </c>
      <c r="K30" s="10"/>
      <c r="L30" s="68">
        <v>8.1999999999999993</v>
      </c>
      <c r="M30" s="69" t="str">
        <f>IFERROR(LOOKUP(INT(L30),Sheet1!$A$2:$A$12,Sheet1!$B$2:$B$12)&amp;" phẩy "&amp;(LOOKUP(ROUND(L30-INT(L30),1)*10,Sheet1!$A$2:$A$12,Sheet1!$C$2:$C$12)),"")</f>
        <v>Tám phẩy hai</v>
      </c>
      <c r="N30" s="41"/>
      <c r="O30" s="20" t="s">
        <v>0</v>
      </c>
      <c r="P30" s="7">
        <f t="shared" si="0"/>
        <v>2.9</v>
      </c>
      <c r="Q30" s="8" t="str">
        <f t="shared" si="1"/>
        <v/>
      </c>
      <c r="R30" s="39" t="str">
        <f t="shared" si="2"/>
        <v>09</v>
      </c>
      <c r="S30" s="8" t="str">
        <f t="shared" si="3"/>
        <v/>
      </c>
      <c r="T30" s="9" t="s">
        <v>3</v>
      </c>
      <c r="U30" s="137" t="s">
        <v>4</v>
      </c>
      <c r="V30" s="138" t="s">
        <v>575</v>
      </c>
      <c r="W30" s="9" t="s">
        <v>40</v>
      </c>
      <c r="X30" s="9" t="s">
        <v>345</v>
      </c>
      <c r="Y30" s="149" t="s">
        <v>35</v>
      </c>
      <c r="Z30" s="147">
        <f t="shared" si="4"/>
        <v>7.77</v>
      </c>
      <c r="AA30" s="151" t="str" cm="1">
        <f t="array" ref="AA30">_xlfn.IFS( Z30&gt;=9, "A+", Z30&gt;=8.5, "A", Z30&gt;=8, "B+", Z30&gt;=7, "B", Z30&gt;=6.5, "C+", Z30&gt;=5.5, "C", Z30&gt;=5, "D+", Z30&gt;=4, "D", Z30&lt;4, "F" )</f>
        <v>B</v>
      </c>
    </row>
    <row r="31" spans="1:31" ht="20.25" customHeight="1" x14ac:dyDescent="0.3">
      <c r="A31" s="1">
        <v>605</v>
      </c>
      <c r="B31" s="6">
        <f>IF(LEN(C31=0),SUBTOTAL(3,$C$10:C31),"")</f>
        <v>22</v>
      </c>
      <c r="C31" s="54" t="s">
        <v>127</v>
      </c>
      <c r="D31" s="55" t="s">
        <v>529</v>
      </c>
      <c r="E31" s="56" t="s">
        <v>530</v>
      </c>
      <c r="F31" s="54" t="s">
        <v>413</v>
      </c>
      <c r="G31" s="57">
        <v>10</v>
      </c>
      <c r="H31" s="57">
        <v>8</v>
      </c>
      <c r="I31" s="64" t="s">
        <v>0</v>
      </c>
      <c r="J31" s="57">
        <v>7.5</v>
      </c>
      <c r="K31" s="10"/>
      <c r="L31" s="68">
        <v>8.8000000000000007</v>
      </c>
      <c r="M31" s="69" t="str">
        <f>IFERROR(LOOKUP(INT(L31),Sheet1!$A$2:$A$12,Sheet1!$B$2:$B$12)&amp;" phẩy "&amp;(LOOKUP(ROUND(L31-INT(L31),1)*10,Sheet1!$A$2:$A$12,Sheet1!$C$2:$C$12)),"")</f>
        <v>Tám phẩy tám</v>
      </c>
      <c r="N31" s="41"/>
      <c r="O31" s="20" t="s">
        <v>0</v>
      </c>
      <c r="P31" s="7">
        <f t="shared" si="0"/>
        <v>3.3</v>
      </c>
      <c r="Q31" s="8" t="str">
        <f t="shared" si="1"/>
        <v/>
      </c>
      <c r="R31" s="39" t="str">
        <f t="shared" si="2"/>
        <v>09</v>
      </c>
      <c r="S31" s="8" t="str">
        <f t="shared" si="3"/>
        <v/>
      </c>
      <c r="T31" s="9" t="s">
        <v>3</v>
      </c>
      <c r="U31" s="137" t="s">
        <v>4</v>
      </c>
      <c r="V31" s="138" t="s">
        <v>575</v>
      </c>
      <c r="W31" s="9" t="s">
        <v>40</v>
      </c>
      <c r="X31" s="9" t="s">
        <v>345</v>
      </c>
      <c r="Y31" s="149" t="s">
        <v>35</v>
      </c>
      <c r="Z31" s="147">
        <f t="shared" si="4"/>
        <v>8.58</v>
      </c>
      <c r="AA31" s="151" t="str" cm="1">
        <f t="array" ref="AA31">_xlfn.IFS( Z31&gt;=9, "A+", Z31&gt;=8.5, "A", Z31&gt;=8, "B+", Z31&gt;=7, "B", Z31&gt;=6.5, "C+", Z31&gt;=5.5, "C", Z31&gt;=5, "D+", Z31&gt;=4, "D", Z31&lt;4, "F" )</f>
        <v>A</v>
      </c>
    </row>
    <row r="32" spans="1:31" ht="20.25" customHeight="1" x14ac:dyDescent="0.3">
      <c r="A32" s="1">
        <v>606</v>
      </c>
      <c r="B32" s="6">
        <f>IF(LEN(C32=0),SUBTOTAL(3,$C$10:C32),"")</f>
        <v>23</v>
      </c>
      <c r="C32" s="54" t="s">
        <v>254</v>
      </c>
      <c r="D32" s="55" t="s">
        <v>531</v>
      </c>
      <c r="E32" s="56" t="s">
        <v>390</v>
      </c>
      <c r="F32" s="54" t="s">
        <v>362</v>
      </c>
      <c r="G32" s="57">
        <v>9</v>
      </c>
      <c r="H32" s="57">
        <v>8</v>
      </c>
      <c r="I32" s="64" t="s">
        <v>0</v>
      </c>
      <c r="J32" s="57">
        <v>8.5</v>
      </c>
      <c r="K32" s="10"/>
      <c r="L32" s="68">
        <v>7.8</v>
      </c>
      <c r="M32" s="69" t="str">
        <f>IFERROR(LOOKUP(INT(L32),Sheet1!$A$2:$A$12,Sheet1!$B$2:$B$12)&amp;" phẩy "&amp;(LOOKUP(ROUND(L32-INT(L32),1)*10,Sheet1!$A$2:$A$12,Sheet1!$C$2:$C$12)),"")</f>
        <v>Bảy phẩy tám</v>
      </c>
      <c r="N32" s="41"/>
      <c r="O32" s="20" t="s">
        <v>0</v>
      </c>
      <c r="P32" s="7">
        <f t="shared" si="0"/>
        <v>3.4</v>
      </c>
      <c r="Q32" s="8" t="str">
        <f t="shared" si="1"/>
        <v/>
      </c>
      <c r="R32" s="39" t="str">
        <f t="shared" si="2"/>
        <v>09</v>
      </c>
      <c r="S32" s="8" t="str">
        <f t="shared" si="3"/>
        <v/>
      </c>
      <c r="T32" s="9" t="s">
        <v>3</v>
      </c>
      <c r="U32" s="137" t="s">
        <v>4</v>
      </c>
      <c r="V32" s="138" t="s">
        <v>575</v>
      </c>
      <c r="W32" s="9" t="s">
        <v>40</v>
      </c>
      <c r="X32" s="9" t="s">
        <v>345</v>
      </c>
      <c r="Y32" s="149" t="s">
        <v>35</v>
      </c>
      <c r="Z32" s="147">
        <f t="shared" si="4"/>
        <v>8.08</v>
      </c>
      <c r="AA32" s="151" t="str" cm="1">
        <f t="array" ref="AA32">_xlfn.IFS( Z32&gt;=9, "A+", Z32&gt;=8.5, "A", Z32&gt;=8, "B+", Z32&gt;=7, "B", Z32&gt;=6.5, "C+", Z32&gt;=5.5, "C", Z32&gt;=5, "D+", Z32&gt;=4, "D", Z32&lt;4, "F" )</f>
        <v>B+</v>
      </c>
    </row>
    <row r="33" spans="1:27" ht="20.25" customHeight="1" x14ac:dyDescent="0.3">
      <c r="A33" s="1">
        <v>607</v>
      </c>
      <c r="B33" s="6">
        <f>IF(LEN(C33=0),SUBTOTAL(3,$C$10:C33),"")</f>
        <v>24</v>
      </c>
      <c r="C33" s="54" t="s">
        <v>155</v>
      </c>
      <c r="D33" s="55" t="s">
        <v>451</v>
      </c>
      <c r="E33" s="56" t="s">
        <v>390</v>
      </c>
      <c r="F33" s="54" t="s">
        <v>362</v>
      </c>
      <c r="G33" s="57">
        <v>10</v>
      </c>
      <c r="H33" s="57">
        <v>8.5</v>
      </c>
      <c r="I33" s="64" t="s">
        <v>0</v>
      </c>
      <c r="J33" s="57">
        <v>8</v>
      </c>
      <c r="K33" s="10"/>
      <c r="L33" s="68">
        <v>9</v>
      </c>
      <c r="M33" s="69" t="str">
        <f>IFERROR(LOOKUP(INT(L33),Sheet1!$A$2:$A$12,Sheet1!$B$2:$B$12)&amp;" phẩy "&amp;(LOOKUP(ROUND(L33-INT(L33),1)*10,Sheet1!$A$2:$A$12,Sheet1!$C$2:$C$12)),"")</f>
        <v>Chín phẩy không</v>
      </c>
      <c r="N33" s="41"/>
      <c r="O33" s="20" t="s">
        <v>0</v>
      </c>
      <c r="P33" s="7">
        <f t="shared" si="0"/>
        <v>3.5</v>
      </c>
      <c r="Q33" s="8" t="str">
        <f t="shared" si="1"/>
        <v/>
      </c>
      <c r="R33" s="39" t="str">
        <f t="shared" si="2"/>
        <v>09</v>
      </c>
      <c r="S33" s="8" t="str">
        <f t="shared" si="3"/>
        <v/>
      </c>
      <c r="T33" s="9" t="s">
        <v>3</v>
      </c>
      <c r="U33" s="137" t="s">
        <v>4</v>
      </c>
      <c r="V33" s="138" t="s">
        <v>575</v>
      </c>
      <c r="W33" s="9" t="s">
        <v>40</v>
      </c>
      <c r="X33" s="9" t="s">
        <v>345</v>
      </c>
      <c r="Y33" s="149" t="s">
        <v>35</v>
      </c>
      <c r="Z33" s="147">
        <f t="shared" si="4"/>
        <v>8.85</v>
      </c>
      <c r="AA33" s="151" t="str" cm="1">
        <f t="array" ref="AA33">_xlfn.IFS( Z33&gt;=9, "A+", Z33&gt;=8.5, "A", Z33&gt;=8, "B+", Z33&gt;=7, "B", Z33&gt;=6.5, "C+", Z33&gt;=5.5, "C", Z33&gt;=5, "D+", Z33&gt;=4, "D", Z33&lt;4, "F" )</f>
        <v>A</v>
      </c>
    </row>
    <row r="34" spans="1:27" ht="20.25" customHeight="1" x14ac:dyDescent="0.3">
      <c r="A34" s="1">
        <v>608</v>
      </c>
      <c r="B34" s="6">
        <f>IF(LEN(C34=0),SUBTOTAL(3,$C$10:C34),"")</f>
        <v>25</v>
      </c>
      <c r="C34" s="54" t="s">
        <v>128</v>
      </c>
      <c r="D34" s="55" t="s">
        <v>405</v>
      </c>
      <c r="E34" s="56" t="s">
        <v>390</v>
      </c>
      <c r="F34" s="54" t="s">
        <v>413</v>
      </c>
      <c r="G34" s="57">
        <v>10</v>
      </c>
      <c r="H34" s="57">
        <v>8.5</v>
      </c>
      <c r="I34" s="64" t="s">
        <v>0</v>
      </c>
      <c r="J34" s="57">
        <v>9</v>
      </c>
      <c r="K34" s="10"/>
      <c r="L34" s="68">
        <v>8</v>
      </c>
      <c r="M34" s="69" t="str">
        <f>IFERROR(LOOKUP(INT(L34),Sheet1!$A$2:$A$12,Sheet1!$B$2:$B$12)&amp;" phẩy "&amp;(LOOKUP(ROUND(L34-INT(L34),1)*10,Sheet1!$A$2:$A$12,Sheet1!$C$2:$C$12)),"")</f>
        <v>Tám phẩy không</v>
      </c>
      <c r="N34" s="41"/>
      <c r="O34" s="20" t="s">
        <v>0</v>
      </c>
      <c r="P34" s="7">
        <f t="shared" si="0"/>
        <v>3.7</v>
      </c>
      <c r="Q34" s="8" t="str">
        <f t="shared" si="1"/>
        <v/>
      </c>
      <c r="R34" s="39" t="str">
        <f t="shared" si="2"/>
        <v>09</v>
      </c>
      <c r="S34" s="8" t="str">
        <f t="shared" si="3"/>
        <v/>
      </c>
      <c r="T34" s="9" t="s">
        <v>3</v>
      </c>
      <c r="U34" s="137" t="s">
        <v>4</v>
      </c>
      <c r="V34" s="138" t="s">
        <v>575</v>
      </c>
      <c r="W34" s="9" t="s">
        <v>40</v>
      </c>
      <c r="X34" s="9" t="s">
        <v>345</v>
      </c>
      <c r="Y34" s="149" t="s">
        <v>35</v>
      </c>
      <c r="Z34" s="147">
        <f t="shared" si="4"/>
        <v>8.4499999999999993</v>
      </c>
      <c r="AA34" s="151" t="s">
        <v>651</v>
      </c>
    </row>
    <row r="35" spans="1:27" ht="20.25" customHeight="1" x14ac:dyDescent="0.3">
      <c r="A35" s="1">
        <v>609</v>
      </c>
      <c r="B35" s="6">
        <f>IF(LEN(C35=0),SUBTOTAL(3,$C$10:C35),"")</f>
        <v>26</v>
      </c>
      <c r="C35" s="54" t="s">
        <v>218</v>
      </c>
      <c r="D35" s="55" t="s">
        <v>532</v>
      </c>
      <c r="E35" s="56" t="s">
        <v>390</v>
      </c>
      <c r="F35" s="54" t="s">
        <v>364</v>
      </c>
      <c r="G35" s="57">
        <v>10</v>
      </c>
      <c r="H35" s="57">
        <v>8.5</v>
      </c>
      <c r="I35" s="64" t="s">
        <v>0</v>
      </c>
      <c r="J35" s="57">
        <v>8</v>
      </c>
      <c r="K35" s="10"/>
      <c r="L35" s="68">
        <v>8.1999999999999993</v>
      </c>
      <c r="M35" s="69" t="str">
        <f>IFERROR(LOOKUP(INT(L35),Sheet1!$A$2:$A$12,Sheet1!$B$2:$B$12)&amp;" phẩy "&amp;(LOOKUP(ROUND(L35-INT(L35),1)*10,Sheet1!$A$2:$A$12,Sheet1!$C$2:$C$12)),"")</f>
        <v>Tám phẩy hai</v>
      </c>
      <c r="N35" s="41"/>
      <c r="O35" s="20" t="s">
        <v>0</v>
      </c>
      <c r="P35" s="7">
        <f t="shared" si="0"/>
        <v>3.5</v>
      </c>
      <c r="Q35" s="8" t="str">
        <f t="shared" si="1"/>
        <v/>
      </c>
      <c r="R35" s="39" t="str">
        <f t="shared" si="2"/>
        <v>09</v>
      </c>
      <c r="S35" s="8" t="str">
        <f t="shared" si="3"/>
        <v/>
      </c>
      <c r="T35" s="9" t="s">
        <v>3</v>
      </c>
      <c r="U35" s="137" t="s">
        <v>4</v>
      </c>
      <c r="V35" s="138" t="s">
        <v>575</v>
      </c>
      <c r="W35" s="9" t="s">
        <v>40</v>
      </c>
      <c r="X35" s="9" t="s">
        <v>345</v>
      </c>
      <c r="Y35" s="149" t="s">
        <v>35</v>
      </c>
      <c r="Z35" s="147">
        <f t="shared" si="4"/>
        <v>8.3699999999999992</v>
      </c>
      <c r="AA35" s="151" t="str" cm="1">
        <f t="array" ref="AA35">_xlfn.IFS( Z35&gt;=9, "A+", Z35&gt;=8.5, "A", Z35&gt;=8, "B+", Z35&gt;=7, "B", Z35&gt;=6.5, "C+", Z35&gt;=5.5, "C", Z35&gt;=5, "D+", Z35&gt;=4, "D", Z35&lt;4, "F" )</f>
        <v>B+</v>
      </c>
    </row>
    <row r="36" spans="1:27" ht="20.25" customHeight="1" x14ac:dyDescent="0.3">
      <c r="A36" s="1">
        <v>610</v>
      </c>
      <c r="B36" s="6">
        <f>IF(LEN(C36=0),SUBTOTAL(3,$C$10:C36),"")</f>
        <v>27</v>
      </c>
      <c r="C36" s="54" t="s">
        <v>93</v>
      </c>
      <c r="D36" s="55" t="s">
        <v>533</v>
      </c>
      <c r="E36" s="56" t="s">
        <v>534</v>
      </c>
      <c r="F36" s="54" t="s">
        <v>385</v>
      </c>
      <c r="G36" s="57">
        <v>7</v>
      </c>
      <c r="H36" s="57">
        <v>7.5</v>
      </c>
      <c r="I36" s="64" t="s">
        <v>0</v>
      </c>
      <c r="J36" s="57">
        <v>7</v>
      </c>
      <c r="K36" s="10"/>
      <c r="L36" s="68">
        <v>8</v>
      </c>
      <c r="M36" s="69" t="str">
        <f>IFERROR(LOOKUP(INT(L36),Sheet1!$A$2:$A$12,Sheet1!$B$2:$B$12)&amp;" phẩy "&amp;(LOOKUP(ROUND(L36-INT(L36),1)*10,Sheet1!$A$2:$A$12,Sheet1!$C$2:$C$12)),"")</f>
        <v>Tám phẩy không</v>
      </c>
      <c r="N36" s="41"/>
      <c r="O36" s="20" t="s">
        <v>0</v>
      </c>
      <c r="P36" s="7">
        <f t="shared" si="0"/>
        <v>2.9</v>
      </c>
      <c r="Q36" s="8" t="str">
        <f t="shared" si="1"/>
        <v/>
      </c>
      <c r="R36" s="39" t="str">
        <f t="shared" si="2"/>
        <v>09</v>
      </c>
      <c r="S36" s="8" t="str">
        <f t="shared" si="3"/>
        <v/>
      </c>
      <c r="T36" s="9" t="s">
        <v>3</v>
      </c>
      <c r="U36" s="137" t="s">
        <v>4</v>
      </c>
      <c r="V36" s="138" t="s">
        <v>575</v>
      </c>
      <c r="W36" s="9" t="s">
        <v>40</v>
      </c>
      <c r="X36" s="9" t="s">
        <v>345</v>
      </c>
      <c r="Y36" s="149" t="s">
        <v>35</v>
      </c>
      <c r="Z36" s="147">
        <f t="shared" si="4"/>
        <v>7.65</v>
      </c>
      <c r="AA36" s="151" t="str" cm="1">
        <f t="array" ref="AA36">_xlfn.IFS( Z36&gt;=9, "A+", Z36&gt;=8.5, "A", Z36&gt;=8, "B+", Z36&gt;=7, "B", Z36&gt;=6.5, "C+", Z36&gt;=5.5, "C", Z36&gt;=5, "D+", Z36&gt;=4, "D", Z36&lt;4, "F" )</f>
        <v>B</v>
      </c>
    </row>
    <row r="37" spans="1:27" ht="20.25" customHeight="1" x14ac:dyDescent="0.3">
      <c r="A37" s="1">
        <v>611</v>
      </c>
      <c r="B37" s="6">
        <f>IF(LEN(C37=0),SUBTOTAL(3,$C$10:C37),"")</f>
        <v>28</v>
      </c>
      <c r="C37" s="54" t="s">
        <v>156</v>
      </c>
      <c r="D37" s="55" t="s">
        <v>535</v>
      </c>
      <c r="E37" s="56" t="s">
        <v>500</v>
      </c>
      <c r="F37" s="54" t="s">
        <v>354</v>
      </c>
      <c r="G37" s="57">
        <v>9</v>
      </c>
      <c r="H37" s="57">
        <v>8.5</v>
      </c>
      <c r="I37" s="64" t="s">
        <v>0</v>
      </c>
      <c r="J37" s="57">
        <v>8</v>
      </c>
      <c r="K37" s="10"/>
      <c r="L37" s="68">
        <v>8.6999999999999993</v>
      </c>
      <c r="M37" s="69" t="str">
        <f>IFERROR(LOOKUP(INT(L37),Sheet1!$A$2:$A$12,Sheet1!$B$2:$B$12)&amp;" phẩy "&amp;(LOOKUP(ROUND(L37-INT(L37),1)*10,Sheet1!$A$2:$A$12,Sheet1!$C$2:$C$12)),"")</f>
        <v>Tám phẩy bảy</v>
      </c>
      <c r="N37" s="41"/>
      <c r="O37" s="20" t="s">
        <v>0</v>
      </c>
      <c r="P37" s="7">
        <f t="shared" si="0"/>
        <v>3.4</v>
      </c>
      <c r="Q37" s="8" t="str">
        <f t="shared" si="1"/>
        <v/>
      </c>
      <c r="R37" s="39" t="str">
        <f t="shared" si="2"/>
        <v>09</v>
      </c>
      <c r="S37" s="8" t="str">
        <f t="shared" si="3"/>
        <v/>
      </c>
      <c r="T37" s="9" t="s">
        <v>3</v>
      </c>
      <c r="U37" s="137" t="s">
        <v>4</v>
      </c>
      <c r="V37" s="138" t="s">
        <v>575</v>
      </c>
      <c r="W37" s="9" t="s">
        <v>40</v>
      </c>
      <c r="X37" s="9" t="s">
        <v>345</v>
      </c>
      <c r="Y37" s="149" t="s">
        <v>35</v>
      </c>
      <c r="Z37" s="147">
        <f t="shared" si="4"/>
        <v>8.57</v>
      </c>
      <c r="AA37" s="151" t="str" cm="1">
        <f t="array" ref="AA37">_xlfn.IFS( Z37&gt;=9, "A+", Z37&gt;=8.5, "A", Z37&gt;=8, "B+", Z37&gt;=7, "B", Z37&gt;=6.5, "C+", Z37&gt;=5.5, "C", Z37&gt;=5, "D+", Z37&gt;=4, "D", Z37&lt;4, "F" )</f>
        <v>A</v>
      </c>
    </row>
    <row r="38" spans="1:27" ht="20.25" customHeight="1" x14ac:dyDescent="0.3">
      <c r="A38" s="1">
        <v>612</v>
      </c>
      <c r="B38" s="6">
        <f>IF(LEN(C38=0),SUBTOTAL(3,$C$10:C38),"")</f>
        <v>29</v>
      </c>
      <c r="C38" s="54" t="s">
        <v>176</v>
      </c>
      <c r="D38" s="55" t="s">
        <v>536</v>
      </c>
      <c r="E38" s="56" t="s">
        <v>399</v>
      </c>
      <c r="F38" s="54" t="s">
        <v>372</v>
      </c>
      <c r="G38" s="57">
        <v>6</v>
      </c>
      <c r="H38" s="57">
        <v>3</v>
      </c>
      <c r="I38" s="64" t="s">
        <v>0</v>
      </c>
      <c r="J38" s="57">
        <v>4</v>
      </c>
      <c r="K38" s="10"/>
      <c r="L38" s="68">
        <v>0</v>
      </c>
      <c r="M38" s="69" t="str">
        <f>IFERROR(LOOKUP(INT(L38),Sheet1!$A$2:$A$12,Sheet1!$B$2:$B$12)&amp;" phẩy "&amp;(LOOKUP(ROUND(L38-INT(L38),1)*10,Sheet1!$A$2:$A$12,Sheet1!$C$2:$C$12)),"")</f>
        <v>Không phẩy không</v>
      </c>
      <c r="N38" s="41"/>
      <c r="O38" s="20" t="s">
        <v>0</v>
      </c>
      <c r="P38" s="7">
        <f t="shared" si="0"/>
        <v>1.7</v>
      </c>
      <c r="Q38" s="8" t="str">
        <f t="shared" si="1"/>
        <v/>
      </c>
      <c r="R38" s="39" t="str">
        <f t="shared" si="2"/>
        <v>09</v>
      </c>
      <c r="S38" s="8" t="str">
        <f t="shared" si="3"/>
        <v/>
      </c>
      <c r="T38" s="9" t="s">
        <v>3</v>
      </c>
      <c r="U38" s="137" t="s">
        <v>4</v>
      </c>
      <c r="V38" s="138" t="s">
        <v>575</v>
      </c>
      <c r="W38" s="9" t="s">
        <v>40</v>
      </c>
      <c r="X38" s="9" t="s">
        <v>345</v>
      </c>
      <c r="Y38" s="149" t="s">
        <v>35</v>
      </c>
      <c r="Z38" s="147">
        <f t="shared" si="4"/>
        <v>1.7000000000000002</v>
      </c>
      <c r="AA38" s="151" t="str" cm="1">
        <f t="array" ref="AA38">_xlfn.IFS( Z38&gt;=9, "A+", Z38&gt;=8.5, "A", Z38&gt;=8, "B+", Z38&gt;=7, "B", Z38&gt;=6.5, "C+", Z38&gt;=5.5, "C", Z38&gt;=5, "D+", Z38&gt;=4, "D", Z38&lt;4, "F" )</f>
        <v>F</v>
      </c>
    </row>
    <row r="39" spans="1:27" ht="20.25" customHeight="1" x14ac:dyDescent="0.3">
      <c r="A39" s="1">
        <v>613</v>
      </c>
      <c r="B39" s="6">
        <f>IF(LEN(C39=0),SUBTOTAL(3,$C$10:C39),"")</f>
        <v>30</v>
      </c>
      <c r="C39" s="54" t="s">
        <v>243</v>
      </c>
      <c r="D39" s="55" t="s">
        <v>398</v>
      </c>
      <c r="E39" s="56" t="s">
        <v>402</v>
      </c>
      <c r="F39" s="54" t="s">
        <v>388</v>
      </c>
      <c r="G39" s="57">
        <v>10</v>
      </c>
      <c r="H39" s="57">
        <v>8</v>
      </c>
      <c r="I39" s="64" t="s">
        <v>0</v>
      </c>
      <c r="J39" s="57">
        <v>7.5</v>
      </c>
      <c r="K39" s="10"/>
      <c r="L39" s="68">
        <v>7.7</v>
      </c>
      <c r="M39" s="69" t="str">
        <f>IFERROR(LOOKUP(INT(L39),Sheet1!$A$2:$A$12,Sheet1!$B$2:$B$12)&amp;" phẩy "&amp;(LOOKUP(ROUND(L39-INT(L39),1)*10,Sheet1!$A$2:$A$12,Sheet1!$C$2:$C$12)),"")</f>
        <v>Bảy phẩy bảy</v>
      </c>
      <c r="N39" s="41"/>
      <c r="O39" s="20" t="s">
        <v>0</v>
      </c>
      <c r="P39" s="7">
        <f t="shared" si="0"/>
        <v>3.3</v>
      </c>
      <c r="Q39" s="8" t="str">
        <f t="shared" si="1"/>
        <v/>
      </c>
      <c r="R39" s="39" t="str">
        <f t="shared" si="2"/>
        <v>09</v>
      </c>
      <c r="S39" s="8" t="str">
        <f t="shared" si="3"/>
        <v/>
      </c>
      <c r="T39" s="9" t="s">
        <v>3</v>
      </c>
      <c r="U39" s="137" t="s">
        <v>4</v>
      </c>
      <c r="V39" s="138" t="s">
        <v>575</v>
      </c>
      <c r="W39" s="9" t="s">
        <v>40</v>
      </c>
      <c r="X39" s="9" t="s">
        <v>345</v>
      </c>
      <c r="Y39" s="149" t="s">
        <v>35</v>
      </c>
      <c r="Z39" s="147">
        <f t="shared" si="4"/>
        <v>7.92</v>
      </c>
      <c r="AA39" s="151" t="str" cm="1">
        <f t="array" ref="AA39">_xlfn.IFS( Z39&gt;=9, "A+", Z39&gt;=8.5, "A", Z39&gt;=8, "B+", Z39&gt;=7, "B", Z39&gt;=6.5, "C+", Z39&gt;=5.5, "C", Z39&gt;=5, "D+", Z39&gt;=4, "D", Z39&lt;4, "F" )</f>
        <v>B</v>
      </c>
    </row>
    <row r="40" spans="1:27" ht="20.25" customHeight="1" x14ac:dyDescent="0.3">
      <c r="A40" s="1">
        <v>614</v>
      </c>
      <c r="B40" s="6">
        <f>IF(LEN(C40=0),SUBTOTAL(3,$C$10:C40),"")</f>
        <v>31</v>
      </c>
      <c r="C40" s="54" t="s">
        <v>244</v>
      </c>
      <c r="D40" s="55" t="s">
        <v>537</v>
      </c>
      <c r="E40" s="56" t="s">
        <v>402</v>
      </c>
      <c r="F40" s="54" t="s">
        <v>388</v>
      </c>
      <c r="G40" s="57">
        <v>10</v>
      </c>
      <c r="H40" s="57">
        <v>8</v>
      </c>
      <c r="I40" s="64" t="s">
        <v>0</v>
      </c>
      <c r="J40" s="57">
        <v>7.5</v>
      </c>
      <c r="K40" s="10"/>
      <c r="L40" s="68">
        <v>7.7</v>
      </c>
      <c r="M40" s="69" t="str">
        <f>IFERROR(LOOKUP(INT(L40),Sheet1!$A$2:$A$12,Sheet1!$B$2:$B$12)&amp;" phẩy "&amp;(LOOKUP(ROUND(L40-INT(L40),1)*10,Sheet1!$A$2:$A$12,Sheet1!$C$2:$C$12)),"")</f>
        <v>Bảy phẩy bảy</v>
      </c>
      <c r="N40" s="41"/>
      <c r="O40" s="20" t="s">
        <v>0</v>
      </c>
      <c r="P40" s="7">
        <f t="shared" si="0"/>
        <v>3.3</v>
      </c>
      <c r="Q40" s="8" t="str">
        <f t="shared" si="1"/>
        <v/>
      </c>
      <c r="R40" s="39" t="str">
        <f t="shared" si="2"/>
        <v>09</v>
      </c>
      <c r="S40" s="8" t="str">
        <f t="shared" si="3"/>
        <v/>
      </c>
      <c r="T40" s="9" t="s">
        <v>3</v>
      </c>
      <c r="U40" s="137" t="s">
        <v>4</v>
      </c>
      <c r="V40" s="138" t="s">
        <v>575</v>
      </c>
      <c r="W40" s="9" t="s">
        <v>40</v>
      </c>
      <c r="X40" s="9" t="s">
        <v>345</v>
      </c>
      <c r="Y40" s="149" t="s">
        <v>35</v>
      </c>
      <c r="Z40" s="147">
        <f t="shared" si="4"/>
        <v>7.92</v>
      </c>
      <c r="AA40" s="151" t="str" cm="1">
        <f t="array" ref="AA40">_xlfn.IFS( Z40&gt;=9, "A+", Z40&gt;=8.5, "A", Z40&gt;=8, "B+", Z40&gt;=7, "B", Z40&gt;=6.5, "C+", Z40&gt;=5.5, "C", Z40&gt;=5, "D+", Z40&gt;=4, "D", Z40&lt;4, "F" )</f>
        <v>B</v>
      </c>
    </row>
    <row r="41" spans="1:27" ht="20.25" customHeight="1" x14ac:dyDescent="0.3">
      <c r="A41" s="1">
        <v>615</v>
      </c>
      <c r="B41" s="6">
        <f>IF(LEN(C41=0),SUBTOTAL(3,$C$10:C41),"")</f>
        <v>32</v>
      </c>
      <c r="C41" s="54" t="s">
        <v>255</v>
      </c>
      <c r="D41" s="55" t="s">
        <v>538</v>
      </c>
      <c r="E41" s="56" t="s">
        <v>402</v>
      </c>
      <c r="F41" s="54" t="s">
        <v>369</v>
      </c>
      <c r="G41" s="57">
        <v>8</v>
      </c>
      <c r="H41" s="57">
        <v>8.5</v>
      </c>
      <c r="I41" s="64" t="s">
        <v>0</v>
      </c>
      <c r="J41" s="57">
        <v>9</v>
      </c>
      <c r="K41" s="10"/>
      <c r="L41" s="68">
        <v>9.1999999999999993</v>
      </c>
      <c r="M41" s="69" t="str">
        <f>IFERROR(LOOKUP(INT(L41),Sheet1!$A$2:$A$12,Sheet1!$B$2:$B$12)&amp;" phẩy "&amp;(LOOKUP(ROUND(L41-INT(L41),1)*10,Sheet1!$A$2:$A$12,Sheet1!$C$2:$C$12)),"")</f>
        <v>Chín phẩy hai</v>
      </c>
      <c r="N41" s="41"/>
      <c r="O41" s="20" t="s">
        <v>0</v>
      </c>
      <c r="P41" s="7">
        <f t="shared" si="0"/>
        <v>3.5</v>
      </c>
      <c r="Q41" s="8" t="str">
        <f t="shared" si="1"/>
        <v/>
      </c>
      <c r="R41" s="39" t="str">
        <f t="shared" si="2"/>
        <v>09</v>
      </c>
      <c r="S41" s="8" t="str">
        <f t="shared" si="3"/>
        <v/>
      </c>
      <c r="T41" s="9" t="s">
        <v>3</v>
      </c>
      <c r="U41" s="137" t="s">
        <v>4</v>
      </c>
      <c r="V41" s="138" t="s">
        <v>575</v>
      </c>
      <c r="W41" s="9" t="s">
        <v>40</v>
      </c>
      <c r="X41" s="9" t="s">
        <v>345</v>
      </c>
      <c r="Y41" s="149" t="s">
        <v>35</v>
      </c>
      <c r="Z41" s="147">
        <f t="shared" si="4"/>
        <v>8.9699999999999989</v>
      </c>
      <c r="AA41" s="151" t="s">
        <v>650</v>
      </c>
    </row>
    <row r="42" spans="1:27" ht="20.25" customHeight="1" x14ac:dyDescent="0.3">
      <c r="A42" s="1">
        <v>616</v>
      </c>
      <c r="B42" s="6">
        <f>IF(LEN(C42=0),SUBTOTAL(3,$C$10:C42),"")</f>
        <v>33</v>
      </c>
      <c r="C42" s="54" t="s">
        <v>226</v>
      </c>
      <c r="D42" s="55" t="s">
        <v>502</v>
      </c>
      <c r="E42" s="56" t="s">
        <v>410</v>
      </c>
      <c r="F42" s="54" t="s">
        <v>364</v>
      </c>
      <c r="G42" s="57">
        <v>10</v>
      </c>
      <c r="H42" s="57">
        <v>8.5</v>
      </c>
      <c r="I42" s="64" t="s">
        <v>0</v>
      </c>
      <c r="J42" s="57">
        <v>8</v>
      </c>
      <c r="K42" s="10"/>
      <c r="L42" s="68">
        <v>8.6999999999999993</v>
      </c>
      <c r="M42" s="69" t="str">
        <f>IFERROR(LOOKUP(INT(L42),Sheet1!$A$2:$A$12,Sheet1!$B$2:$B$12)&amp;" phẩy "&amp;(LOOKUP(ROUND(L42-INT(L42),1)*10,Sheet1!$A$2:$A$12,Sheet1!$C$2:$C$12)),"")</f>
        <v>Tám phẩy bảy</v>
      </c>
      <c r="N42" s="41"/>
      <c r="O42" s="20" t="s">
        <v>0</v>
      </c>
      <c r="P42" s="7">
        <f t="shared" si="0"/>
        <v>3.5</v>
      </c>
      <c r="Q42" s="8" t="str">
        <f t="shared" si="1"/>
        <v/>
      </c>
      <c r="R42" s="39" t="str">
        <f t="shared" si="2"/>
        <v>09</v>
      </c>
      <c r="S42" s="8" t="str">
        <f t="shared" si="3"/>
        <v/>
      </c>
      <c r="T42" s="9" t="s">
        <v>3</v>
      </c>
      <c r="U42" s="137" t="s">
        <v>4</v>
      </c>
      <c r="V42" s="138" t="s">
        <v>575</v>
      </c>
      <c r="W42" s="9" t="s">
        <v>40</v>
      </c>
      <c r="X42" s="9" t="s">
        <v>345</v>
      </c>
      <c r="Y42" s="149" t="s">
        <v>35</v>
      </c>
      <c r="Z42" s="147">
        <f t="shared" si="4"/>
        <v>8.67</v>
      </c>
      <c r="AA42" s="151" t="str" cm="1">
        <f t="array" ref="AA42">_xlfn.IFS( Z42&gt;=9, "A+", Z42&gt;=8.5, "A", Z42&gt;=8, "B+", Z42&gt;=7, "B", Z42&gt;=6.5, "C+", Z42&gt;=5.5, "C", Z42&gt;=5, "D+", Z42&gt;=4, "D", Z42&lt;4, "F" )</f>
        <v>A</v>
      </c>
    </row>
    <row r="43" spans="1:27" ht="20.25" customHeight="1" x14ac:dyDescent="0.3">
      <c r="A43" s="1">
        <v>617</v>
      </c>
      <c r="B43" s="6">
        <f>IF(LEN(C43=0),SUBTOTAL(3,$C$10:C43),"")</f>
        <v>34</v>
      </c>
      <c r="C43" s="54" t="s">
        <v>145</v>
      </c>
      <c r="D43" s="55" t="s">
        <v>421</v>
      </c>
      <c r="E43" s="56" t="s">
        <v>410</v>
      </c>
      <c r="F43" s="54" t="s">
        <v>364</v>
      </c>
      <c r="G43" s="57">
        <v>10</v>
      </c>
      <c r="H43" s="57">
        <v>8.5</v>
      </c>
      <c r="I43" s="64" t="s">
        <v>0</v>
      </c>
      <c r="J43" s="57">
        <v>8</v>
      </c>
      <c r="K43" s="10"/>
      <c r="L43" s="68">
        <v>7</v>
      </c>
      <c r="M43" s="69" t="str">
        <f>IFERROR(LOOKUP(INT(L43),Sheet1!$A$2:$A$12,Sheet1!$B$2:$B$12)&amp;" phẩy "&amp;(LOOKUP(ROUND(L43-INT(L43),1)*10,Sheet1!$A$2:$A$12,Sheet1!$C$2:$C$12)),"")</f>
        <v>Bảy phẩy không</v>
      </c>
      <c r="N43" s="41"/>
      <c r="O43" s="20" t="s">
        <v>0</v>
      </c>
      <c r="P43" s="7">
        <f t="shared" si="0"/>
        <v>3.5</v>
      </c>
      <c r="Q43" s="8" t="str">
        <f t="shared" si="1"/>
        <v/>
      </c>
      <c r="R43" s="39" t="str">
        <f t="shared" si="2"/>
        <v>09</v>
      </c>
      <c r="S43" s="8" t="str">
        <f t="shared" si="3"/>
        <v/>
      </c>
      <c r="T43" s="9" t="s">
        <v>3</v>
      </c>
      <c r="U43" s="137" t="s">
        <v>4</v>
      </c>
      <c r="V43" s="138" t="s">
        <v>575</v>
      </c>
      <c r="W43" s="9" t="s">
        <v>40</v>
      </c>
      <c r="X43" s="9" t="s">
        <v>345</v>
      </c>
      <c r="Y43" s="149" t="s">
        <v>35</v>
      </c>
      <c r="Z43" s="147">
        <f t="shared" si="4"/>
        <v>7.65</v>
      </c>
      <c r="AA43" s="151" t="str" cm="1">
        <f t="array" ref="AA43">_xlfn.IFS( Z43&gt;=9, "A+", Z43&gt;=8.5, "A", Z43&gt;=8, "B+", Z43&gt;=7, "B", Z43&gt;=6.5, "C+", Z43&gt;=5.5, "C", Z43&gt;=5, "D+", Z43&gt;=4, "D", Z43&lt;4, "F" )</f>
        <v>B</v>
      </c>
    </row>
    <row r="44" spans="1:27" ht="20.25" customHeight="1" x14ac:dyDescent="0.3">
      <c r="A44" s="1">
        <v>618</v>
      </c>
      <c r="B44" s="6">
        <f>IF(LEN(C44=0),SUBTOTAL(3,$C$10:C44),"")</f>
        <v>35</v>
      </c>
      <c r="C44" s="54" t="s">
        <v>227</v>
      </c>
      <c r="D44" s="55" t="s">
        <v>539</v>
      </c>
      <c r="E44" s="56" t="s">
        <v>486</v>
      </c>
      <c r="F44" s="54" t="s">
        <v>364</v>
      </c>
      <c r="G44" s="57">
        <v>10</v>
      </c>
      <c r="H44" s="57">
        <v>8.5</v>
      </c>
      <c r="I44" s="64" t="s">
        <v>0</v>
      </c>
      <c r="J44" s="57">
        <v>8</v>
      </c>
      <c r="K44" s="10"/>
      <c r="L44" s="68">
        <v>7.3</v>
      </c>
      <c r="M44" s="69" t="str">
        <f>IFERROR(LOOKUP(INT(L44),Sheet1!$A$2:$A$12,Sheet1!$B$2:$B$12)&amp;" phẩy "&amp;(LOOKUP(ROUND(L44-INT(L44),1)*10,Sheet1!$A$2:$A$12,Sheet1!$C$2:$C$12)),"")</f>
        <v>Bảy phẩy ba</v>
      </c>
      <c r="N44" s="41"/>
      <c r="O44" s="20" t="s">
        <v>0</v>
      </c>
      <c r="P44" s="7">
        <f t="shared" si="0"/>
        <v>3.5</v>
      </c>
      <c r="Q44" s="8" t="str">
        <f t="shared" si="1"/>
        <v/>
      </c>
      <c r="R44" s="39" t="str">
        <f t="shared" si="2"/>
        <v>09</v>
      </c>
      <c r="S44" s="8" t="str">
        <f t="shared" si="3"/>
        <v/>
      </c>
      <c r="T44" s="9" t="s">
        <v>3</v>
      </c>
      <c r="U44" s="137" t="s">
        <v>4</v>
      </c>
      <c r="V44" s="138" t="s">
        <v>575</v>
      </c>
      <c r="W44" s="9" t="s">
        <v>40</v>
      </c>
      <c r="X44" s="9" t="s">
        <v>345</v>
      </c>
      <c r="Y44" s="149" t="s">
        <v>35</v>
      </c>
      <c r="Z44" s="147">
        <f t="shared" si="4"/>
        <v>7.83</v>
      </c>
      <c r="AA44" s="151" t="str" cm="1">
        <f t="array" ref="AA44">_xlfn.IFS( Z44&gt;=9, "A+", Z44&gt;=8.5, "A", Z44&gt;=8, "B+", Z44&gt;=7, "B", Z44&gt;=6.5, "C+", Z44&gt;=5.5, "C", Z44&gt;=5, "D+", Z44&gt;=4, "D", Z44&lt;4, "F" )</f>
        <v>B</v>
      </c>
    </row>
    <row r="45" spans="1:27" ht="20.25" customHeight="1" x14ac:dyDescent="0.3">
      <c r="A45" s="1">
        <v>619</v>
      </c>
      <c r="B45" s="6">
        <f>IF(LEN(C45=0),SUBTOTAL(3,$C$10:C45),"")</f>
        <v>36</v>
      </c>
      <c r="C45" s="54" t="s">
        <v>166</v>
      </c>
      <c r="D45" s="55" t="s">
        <v>405</v>
      </c>
      <c r="E45" s="56" t="s">
        <v>486</v>
      </c>
      <c r="F45" s="54" t="s">
        <v>366</v>
      </c>
      <c r="G45" s="57">
        <v>10</v>
      </c>
      <c r="H45" s="57">
        <v>8.5</v>
      </c>
      <c r="I45" s="64" t="s">
        <v>0</v>
      </c>
      <c r="J45" s="57">
        <v>9</v>
      </c>
      <c r="K45" s="10"/>
      <c r="L45" s="68">
        <v>8</v>
      </c>
      <c r="M45" s="69" t="str">
        <f>IFERROR(LOOKUP(INT(L45),Sheet1!$A$2:$A$12,Sheet1!$B$2:$B$12)&amp;" phẩy "&amp;(LOOKUP(ROUND(L45-INT(L45),1)*10,Sheet1!$A$2:$A$12,Sheet1!$C$2:$C$12)),"")</f>
        <v>Tám phẩy không</v>
      </c>
      <c r="N45" s="41"/>
      <c r="O45" s="20" t="s">
        <v>0</v>
      </c>
      <c r="P45" s="7">
        <f t="shared" si="0"/>
        <v>3.7</v>
      </c>
      <c r="Q45" s="8" t="str">
        <f t="shared" si="1"/>
        <v/>
      </c>
      <c r="R45" s="39" t="str">
        <f t="shared" si="2"/>
        <v>09</v>
      </c>
      <c r="S45" s="8" t="str">
        <f t="shared" si="3"/>
        <v/>
      </c>
      <c r="T45" s="9" t="s">
        <v>3</v>
      </c>
      <c r="U45" s="137" t="s">
        <v>4</v>
      </c>
      <c r="V45" s="138" t="s">
        <v>575</v>
      </c>
      <c r="W45" s="9" t="s">
        <v>40</v>
      </c>
      <c r="X45" s="9" t="s">
        <v>345</v>
      </c>
      <c r="Y45" s="149" t="s">
        <v>35</v>
      </c>
      <c r="Z45" s="147">
        <f t="shared" si="4"/>
        <v>8.4499999999999993</v>
      </c>
      <c r="AA45" s="151" t="s">
        <v>651</v>
      </c>
    </row>
    <row r="46" spans="1:27" ht="20.25" customHeight="1" x14ac:dyDescent="0.3">
      <c r="A46" s="1">
        <v>620</v>
      </c>
      <c r="B46" s="6">
        <f>IF(LEN(C46=0),SUBTOTAL(3,$C$10:C46),"")</f>
        <v>37</v>
      </c>
      <c r="C46" s="54" t="s">
        <v>250</v>
      </c>
      <c r="D46" s="55" t="s">
        <v>405</v>
      </c>
      <c r="E46" s="56" t="s">
        <v>412</v>
      </c>
      <c r="F46" s="54" t="s">
        <v>372</v>
      </c>
      <c r="G46" s="57">
        <v>10</v>
      </c>
      <c r="H46" s="57">
        <v>8.5</v>
      </c>
      <c r="I46" s="64" t="s">
        <v>0</v>
      </c>
      <c r="J46" s="57">
        <v>8</v>
      </c>
      <c r="K46" s="10"/>
      <c r="L46" s="68">
        <v>8</v>
      </c>
      <c r="M46" s="69" t="str">
        <f>IFERROR(LOOKUP(INT(L46),Sheet1!$A$2:$A$12,Sheet1!$B$2:$B$12)&amp;" phẩy "&amp;(LOOKUP(ROUND(L46-INT(L46),1)*10,Sheet1!$A$2:$A$12,Sheet1!$C$2:$C$12)),"")</f>
        <v>Tám phẩy không</v>
      </c>
      <c r="N46" s="41"/>
      <c r="O46" s="20" t="s">
        <v>0</v>
      </c>
      <c r="P46" s="7">
        <f t="shared" si="0"/>
        <v>3.5</v>
      </c>
      <c r="Q46" s="8" t="str">
        <f t="shared" si="1"/>
        <v/>
      </c>
      <c r="R46" s="39" t="str">
        <f t="shared" si="2"/>
        <v>09</v>
      </c>
      <c r="S46" s="8" t="str">
        <f t="shared" si="3"/>
        <v/>
      </c>
      <c r="T46" s="9" t="s">
        <v>3</v>
      </c>
      <c r="U46" s="137" t="s">
        <v>4</v>
      </c>
      <c r="V46" s="138" t="s">
        <v>575</v>
      </c>
      <c r="W46" s="9" t="s">
        <v>40</v>
      </c>
      <c r="X46" s="9" t="s">
        <v>345</v>
      </c>
      <c r="Y46" s="149" t="s">
        <v>35</v>
      </c>
      <c r="Z46" s="147">
        <f t="shared" si="4"/>
        <v>8.25</v>
      </c>
      <c r="AA46" s="151" t="str" cm="1">
        <f t="array" ref="AA46">_xlfn.IFS( Z46&gt;=9, "A+", Z46&gt;=8.5, "A", Z46&gt;=8, "B+", Z46&gt;=7, "B", Z46&gt;=6.5, "C+", Z46&gt;=5.5, "C", Z46&gt;=5, "D+", Z46&gt;=4, "D", Z46&lt;4, "F" )</f>
        <v>B+</v>
      </c>
    </row>
    <row r="47" spans="1:27" ht="20.25" customHeight="1" x14ac:dyDescent="0.3">
      <c r="A47" s="1">
        <v>621</v>
      </c>
      <c r="B47" s="6">
        <f>IF(LEN(C47=0),SUBTOTAL(3,$C$10:C47),"")</f>
        <v>38</v>
      </c>
      <c r="C47" s="54" t="s">
        <v>239</v>
      </c>
      <c r="D47" s="55" t="s">
        <v>540</v>
      </c>
      <c r="E47" s="56" t="s">
        <v>415</v>
      </c>
      <c r="F47" s="54" t="s">
        <v>359</v>
      </c>
      <c r="G47" s="57">
        <v>9</v>
      </c>
      <c r="H47" s="57">
        <v>7.5</v>
      </c>
      <c r="I47" s="64" t="s">
        <v>0</v>
      </c>
      <c r="J47" s="57">
        <v>8.5</v>
      </c>
      <c r="K47" s="10"/>
      <c r="L47" s="68">
        <v>6.8</v>
      </c>
      <c r="M47" s="69" t="str">
        <f>IFERROR(LOOKUP(INT(L47),Sheet1!$A$2:$A$12,Sheet1!$B$2:$B$12)&amp;" phẩy "&amp;(LOOKUP(ROUND(L47-INT(L47),1)*10,Sheet1!$A$2:$A$12,Sheet1!$C$2:$C$12)),"")</f>
        <v>Sáu phẩy tám</v>
      </c>
      <c r="N47" s="41"/>
      <c r="O47" s="20" t="s">
        <v>0</v>
      </c>
      <c r="P47" s="7">
        <f t="shared" si="0"/>
        <v>3.4</v>
      </c>
      <c r="Q47" s="8" t="str">
        <f t="shared" si="1"/>
        <v/>
      </c>
      <c r="R47" s="39" t="str">
        <f t="shared" si="2"/>
        <v>09</v>
      </c>
      <c r="S47" s="8" t="str">
        <f t="shared" si="3"/>
        <v/>
      </c>
      <c r="T47" s="9" t="s">
        <v>2</v>
      </c>
      <c r="U47" s="137" t="s">
        <v>4</v>
      </c>
      <c r="V47" s="138" t="s">
        <v>575</v>
      </c>
      <c r="W47" s="9" t="s">
        <v>41</v>
      </c>
      <c r="X47" s="9" t="s">
        <v>345</v>
      </c>
      <c r="Y47" s="149" t="s">
        <v>35</v>
      </c>
      <c r="Z47" s="147">
        <f t="shared" si="4"/>
        <v>7.43</v>
      </c>
      <c r="AA47" s="151" t="str" cm="1">
        <f t="array" ref="AA47">_xlfn.IFS( Z47&gt;=9, "A+", Z47&gt;=8.5, "A", Z47&gt;=8, "B+", Z47&gt;=7, "B", Z47&gt;=6.5, "C+", Z47&gt;=5.5, "C", Z47&gt;=5, "D+", Z47&gt;=4, "D", Z47&lt;4, "F" )</f>
        <v>B</v>
      </c>
    </row>
    <row r="48" spans="1:27" ht="20.25" customHeight="1" x14ac:dyDescent="0.3">
      <c r="A48" s="1">
        <v>622</v>
      </c>
      <c r="B48" s="6">
        <f>IF(LEN(C48=0),SUBTOTAL(3,$C$10:C48),"")</f>
        <v>39</v>
      </c>
      <c r="C48" s="54" t="s">
        <v>157</v>
      </c>
      <c r="D48" s="55" t="s">
        <v>421</v>
      </c>
      <c r="E48" s="56" t="s">
        <v>494</v>
      </c>
      <c r="F48" s="54" t="s">
        <v>369</v>
      </c>
      <c r="G48" s="57">
        <v>9</v>
      </c>
      <c r="H48" s="57">
        <v>8</v>
      </c>
      <c r="I48" s="64" t="s">
        <v>0</v>
      </c>
      <c r="J48" s="57">
        <v>7.5</v>
      </c>
      <c r="K48" s="10"/>
      <c r="L48" s="68">
        <v>9.1999999999999993</v>
      </c>
      <c r="M48" s="69" t="str">
        <f>IFERROR(LOOKUP(INT(L48),Sheet1!$A$2:$A$12,Sheet1!$B$2:$B$12)&amp;" phẩy "&amp;(LOOKUP(ROUND(L48-INT(L48),1)*10,Sheet1!$A$2:$A$12,Sheet1!$C$2:$C$12)),"")</f>
        <v>Chín phẩy hai</v>
      </c>
      <c r="N48" s="41"/>
      <c r="O48" s="20" t="s">
        <v>0</v>
      </c>
      <c r="P48" s="7">
        <f t="shared" si="0"/>
        <v>3.2</v>
      </c>
      <c r="Q48" s="8" t="str">
        <f t="shared" si="1"/>
        <v/>
      </c>
      <c r="R48" s="39" t="str">
        <f t="shared" si="2"/>
        <v>09</v>
      </c>
      <c r="S48" s="8" t="str">
        <f t="shared" si="3"/>
        <v/>
      </c>
      <c r="T48" s="9" t="s">
        <v>2</v>
      </c>
      <c r="U48" s="137" t="s">
        <v>4</v>
      </c>
      <c r="V48" s="138" t="s">
        <v>575</v>
      </c>
      <c r="W48" s="9" t="s">
        <v>41</v>
      </c>
      <c r="X48" s="9" t="s">
        <v>345</v>
      </c>
      <c r="Y48" s="149" t="s">
        <v>35</v>
      </c>
      <c r="Z48" s="147">
        <f t="shared" si="4"/>
        <v>8.7199999999999989</v>
      </c>
      <c r="AA48" s="151" t="str" cm="1">
        <f t="array" ref="AA48">_xlfn.IFS( Z48&gt;=9, "A+", Z48&gt;=8.5, "A", Z48&gt;=8, "B+", Z48&gt;=7, "B", Z48&gt;=6.5, "C+", Z48&gt;=5.5, "C", Z48&gt;=5, "D+", Z48&gt;=4, "D", Z48&lt;4, "F" )</f>
        <v>A</v>
      </c>
    </row>
    <row r="49" spans="1:27" ht="20.25" customHeight="1" x14ac:dyDescent="0.3">
      <c r="A49" s="1">
        <v>623</v>
      </c>
      <c r="B49" s="6">
        <f>IF(LEN(C49=0),SUBTOTAL(3,$C$10:C49),"")</f>
        <v>40</v>
      </c>
      <c r="C49" s="54" t="s">
        <v>115</v>
      </c>
      <c r="D49" s="55" t="s">
        <v>507</v>
      </c>
      <c r="E49" s="56" t="s">
        <v>541</v>
      </c>
      <c r="F49" s="54" t="s">
        <v>369</v>
      </c>
      <c r="G49" s="57">
        <v>9</v>
      </c>
      <c r="H49" s="57">
        <v>8</v>
      </c>
      <c r="I49" s="64" t="s">
        <v>0</v>
      </c>
      <c r="J49" s="57">
        <v>7.5</v>
      </c>
      <c r="K49" s="10"/>
      <c r="L49" s="68">
        <v>7.3</v>
      </c>
      <c r="M49" s="69" t="str">
        <f>IFERROR(LOOKUP(INT(L49),Sheet1!$A$2:$A$12,Sheet1!$B$2:$B$12)&amp;" phẩy "&amp;(LOOKUP(ROUND(L49-INT(L49),1)*10,Sheet1!$A$2:$A$12,Sheet1!$C$2:$C$12)),"")</f>
        <v>Bảy phẩy ba</v>
      </c>
      <c r="N49" s="41"/>
      <c r="O49" s="20" t="s">
        <v>0</v>
      </c>
      <c r="P49" s="7">
        <f t="shared" si="0"/>
        <v>3.2</v>
      </c>
      <c r="Q49" s="8" t="str">
        <f t="shared" si="1"/>
        <v/>
      </c>
      <c r="R49" s="39" t="str">
        <f t="shared" si="2"/>
        <v>09</v>
      </c>
      <c r="S49" s="8" t="str">
        <f t="shared" si="3"/>
        <v/>
      </c>
      <c r="T49" s="9" t="s">
        <v>2</v>
      </c>
      <c r="U49" s="137" t="s">
        <v>4</v>
      </c>
      <c r="V49" s="138" t="s">
        <v>575</v>
      </c>
      <c r="W49" s="9" t="s">
        <v>41</v>
      </c>
      <c r="X49" s="9" t="s">
        <v>345</v>
      </c>
      <c r="Y49" s="149" t="s">
        <v>35</v>
      </c>
      <c r="Z49" s="147">
        <f t="shared" si="4"/>
        <v>7.58</v>
      </c>
      <c r="AA49" s="151" t="str" cm="1">
        <f t="array" ref="AA49">_xlfn.IFS( Z49&gt;=9, "A+", Z49&gt;=8.5, "A", Z49&gt;=8, "B+", Z49&gt;=7, "B", Z49&gt;=6.5, "C+", Z49&gt;=5.5, "C", Z49&gt;=5, "D+", Z49&gt;=4, "D", Z49&lt;4, "F" )</f>
        <v>B</v>
      </c>
    </row>
    <row r="50" spans="1:27" ht="20.25" customHeight="1" x14ac:dyDescent="0.3">
      <c r="A50" s="1">
        <v>624</v>
      </c>
      <c r="B50" s="6">
        <f>IF(LEN(C50=0),SUBTOTAL(3,$C$10:C50),"")</f>
        <v>41</v>
      </c>
      <c r="C50" s="54" t="s">
        <v>229</v>
      </c>
      <c r="D50" s="55" t="s">
        <v>542</v>
      </c>
      <c r="E50" s="56" t="s">
        <v>433</v>
      </c>
      <c r="F50" s="54" t="s">
        <v>400</v>
      </c>
      <c r="G50" s="57">
        <v>7</v>
      </c>
      <c r="H50" s="57">
        <v>7.5</v>
      </c>
      <c r="I50" s="64" t="s">
        <v>0</v>
      </c>
      <c r="J50" s="57">
        <v>8.5</v>
      </c>
      <c r="K50" s="10"/>
      <c r="L50" s="68">
        <v>5.8</v>
      </c>
      <c r="M50" s="69" t="str">
        <f>IFERROR(LOOKUP(INT(L50),Sheet1!$A$2:$A$12,Sheet1!$B$2:$B$12)&amp;" phẩy "&amp;(LOOKUP(ROUND(L50-INT(L50),1)*10,Sheet1!$A$2:$A$12,Sheet1!$C$2:$C$12)),"")</f>
        <v>Năm phẩy tám</v>
      </c>
      <c r="N50" s="41"/>
      <c r="O50" s="20" t="s">
        <v>0</v>
      </c>
      <c r="P50" s="7">
        <f t="shared" si="0"/>
        <v>3.2</v>
      </c>
      <c r="Q50" s="8" t="str">
        <f t="shared" si="1"/>
        <v/>
      </c>
      <c r="R50" s="39" t="str">
        <f t="shared" si="2"/>
        <v>09</v>
      </c>
      <c r="S50" s="8" t="str">
        <f t="shared" si="3"/>
        <v/>
      </c>
      <c r="T50" s="9" t="s">
        <v>2</v>
      </c>
      <c r="U50" s="137" t="s">
        <v>4</v>
      </c>
      <c r="V50" s="138" t="s">
        <v>575</v>
      </c>
      <c r="W50" s="9" t="s">
        <v>41</v>
      </c>
      <c r="X50" s="9" t="s">
        <v>345</v>
      </c>
      <c r="Y50" s="149" t="s">
        <v>35</v>
      </c>
      <c r="Z50" s="147">
        <f t="shared" si="4"/>
        <v>6.6300000000000008</v>
      </c>
      <c r="AA50" s="151" t="str" cm="1">
        <f t="array" ref="AA50">_xlfn.IFS( Z50&gt;=9, "A+", Z50&gt;=8.5, "A", Z50&gt;=8, "B+", Z50&gt;=7, "B", Z50&gt;=6.5, "C+", Z50&gt;=5.5, "C", Z50&gt;=5, "D+", Z50&gt;=4, "D", Z50&lt;4, "F" )</f>
        <v>C+</v>
      </c>
    </row>
    <row r="51" spans="1:27" ht="20.25" customHeight="1" x14ac:dyDescent="0.3">
      <c r="A51" s="1">
        <v>625</v>
      </c>
      <c r="B51" s="6">
        <f>IF(LEN(C51=0),SUBTOTAL(3,$C$10:C51),"")</f>
        <v>42</v>
      </c>
      <c r="C51" s="54" t="s">
        <v>209</v>
      </c>
      <c r="D51" s="55" t="s">
        <v>508</v>
      </c>
      <c r="E51" s="56" t="s">
        <v>435</v>
      </c>
      <c r="F51" s="54" t="s">
        <v>356</v>
      </c>
      <c r="G51" s="57">
        <v>9</v>
      </c>
      <c r="H51" s="57">
        <v>8</v>
      </c>
      <c r="I51" s="64" t="s">
        <v>0</v>
      </c>
      <c r="J51" s="57">
        <v>7</v>
      </c>
      <c r="K51" s="10"/>
      <c r="L51" s="68">
        <v>7.3</v>
      </c>
      <c r="M51" s="69" t="str">
        <f>IFERROR(LOOKUP(INT(L51),Sheet1!$A$2:$A$12,Sheet1!$B$2:$B$12)&amp;" phẩy "&amp;(LOOKUP(ROUND(L51-INT(L51),1)*10,Sheet1!$A$2:$A$12,Sheet1!$C$2:$C$12)),"")</f>
        <v>Bảy phẩy ba</v>
      </c>
      <c r="N51" s="41"/>
      <c r="O51" s="20" t="s">
        <v>0</v>
      </c>
      <c r="P51" s="7">
        <f t="shared" si="0"/>
        <v>3.1</v>
      </c>
      <c r="Q51" s="8" t="str">
        <f t="shared" si="1"/>
        <v/>
      </c>
      <c r="R51" s="39" t="str">
        <f t="shared" si="2"/>
        <v>09</v>
      </c>
      <c r="S51" s="8" t="str">
        <f t="shared" si="3"/>
        <v/>
      </c>
      <c r="T51" s="9" t="s">
        <v>2</v>
      </c>
      <c r="U51" s="137" t="s">
        <v>4</v>
      </c>
      <c r="V51" s="138" t="s">
        <v>575</v>
      </c>
      <c r="W51" s="9" t="s">
        <v>41</v>
      </c>
      <c r="X51" s="9" t="s">
        <v>345</v>
      </c>
      <c r="Y51" s="149" t="s">
        <v>35</v>
      </c>
      <c r="Z51" s="147">
        <f t="shared" si="4"/>
        <v>7.48</v>
      </c>
      <c r="AA51" s="151" t="str" cm="1">
        <f t="array" ref="AA51">_xlfn.IFS( Z51&gt;=9, "A+", Z51&gt;=8.5, "A", Z51&gt;=8, "B+", Z51&gt;=7, "B", Z51&gt;=6.5, "C+", Z51&gt;=5.5, "C", Z51&gt;=5, "D+", Z51&gt;=4, "D", Z51&lt;4, "F" )</f>
        <v>B</v>
      </c>
    </row>
    <row r="52" spans="1:27" ht="20.25" customHeight="1" x14ac:dyDescent="0.3">
      <c r="A52" s="1">
        <v>626</v>
      </c>
      <c r="B52" s="6">
        <f>IF(LEN(C52=0),SUBTOTAL(3,$C$10:C52),"")</f>
        <v>43</v>
      </c>
      <c r="C52" s="54" t="s">
        <v>230</v>
      </c>
      <c r="D52" s="55" t="s">
        <v>416</v>
      </c>
      <c r="E52" s="56" t="s">
        <v>435</v>
      </c>
      <c r="F52" s="54" t="s">
        <v>359</v>
      </c>
      <c r="G52" s="57">
        <v>9</v>
      </c>
      <c r="H52" s="57">
        <v>8</v>
      </c>
      <c r="I52" s="64" t="s">
        <v>0</v>
      </c>
      <c r="J52" s="57">
        <v>7.5</v>
      </c>
      <c r="K52" s="10"/>
      <c r="L52" s="68">
        <v>8.1999999999999993</v>
      </c>
      <c r="M52" s="69" t="str">
        <f>IFERROR(LOOKUP(INT(L52),Sheet1!$A$2:$A$12,Sheet1!$B$2:$B$12)&amp;" phẩy "&amp;(LOOKUP(ROUND(L52-INT(L52),1)*10,Sheet1!$A$2:$A$12,Sheet1!$C$2:$C$12)),"")</f>
        <v>Tám phẩy hai</v>
      </c>
      <c r="N52" s="41"/>
      <c r="O52" s="20" t="s">
        <v>0</v>
      </c>
      <c r="P52" s="7">
        <f t="shared" si="0"/>
        <v>3.2</v>
      </c>
      <c r="Q52" s="8" t="str">
        <f t="shared" si="1"/>
        <v/>
      </c>
      <c r="R52" s="39" t="str">
        <f t="shared" si="2"/>
        <v>09</v>
      </c>
      <c r="S52" s="8" t="str">
        <f t="shared" si="3"/>
        <v/>
      </c>
      <c r="T52" s="9" t="s">
        <v>2</v>
      </c>
      <c r="U52" s="137" t="s">
        <v>4</v>
      </c>
      <c r="V52" s="138" t="s">
        <v>575</v>
      </c>
      <c r="W52" s="9" t="s">
        <v>41</v>
      </c>
      <c r="X52" s="9" t="s">
        <v>345</v>
      </c>
      <c r="Y52" s="149" t="s">
        <v>35</v>
      </c>
      <c r="Z52" s="147">
        <f t="shared" si="4"/>
        <v>8.1199999999999992</v>
      </c>
      <c r="AA52" s="151" t="str" cm="1">
        <f t="array" ref="AA52">_xlfn.IFS( Z52&gt;=9, "A+", Z52&gt;=8.5, "A", Z52&gt;=8, "B+", Z52&gt;=7, "B", Z52&gt;=6.5, "C+", Z52&gt;=5.5, "C", Z52&gt;=5, "D+", Z52&gt;=4, "D", Z52&lt;4, "F" )</f>
        <v>B+</v>
      </c>
    </row>
    <row r="53" spans="1:27" ht="20.25" customHeight="1" x14ac:dyDescent="0.3">
      <c r="A53" s="1">
        <v>627</v>
      </c>
      <c r="B53" s="6">
        <f>IF(LEN(C53=0),SUBTOTAL(3,$C$10:C53),"")</f>
        <v>44</v>
      </c>
      <c r="C53" s="54" t="s">
        <v>181</v>
      </c>
      <c r="D53" s="55" t="s">
        <v>543</v>
      </c>
      <c r="E53" s="56" t="s">
        <v>544</v>
      </c>
      <c r="F53" s="54" t="s">
        <v>366</v>
      </c>
      <c r="G53" s="57">
        <v>9</v>
      </c>
      <c r="H53" s="57">
        <v>8</v>
      </c>
      <c r="I53" s="64" t="s">
        <v>0</v>
      </c>
      <c r="J53" s="57">
        <v>8.5</v>
      </c>
      <c r="K53" s="10"/>
      <c r="L53" s="68">
        <v>8.1999999999999993</v>
      </c>
      <c r="M53" s="69" t="str">
        <f>IFERROR(LOOKUP(INT(L53),Sheet1!$A$2:$A$12,Sheet1!$B$2:$B$12)&amp;" phẩy "&amp;(LOOKUP(ROUND(L53-INT(L53),1)*10,Sheet1!$A$2:$A$12,Sheet1!$C$2:$C$12)),"")</f>
        <v>Tám phẩy hai</v>
      </c>
      <c r="N53" s="41"/>
      <c r="O53" s="20" t="s">
        <v>0</v>
      </c>
      <c r="P53" s="7">
        <f t="shared" si="0"/>
        <v>3.4</v>
      </c>
      <c r="Q53" s="8" t="str">
        <f t="shared" si="1"/>
        <v/>
      </c>
      <c r="R53" s="39" t="str">
        <f t="shared" si="2"/>
        <v>09</v>
      </c>
      <c r="S53" s="8" t="str">
        <f t="shared" si="3"/>
        <v/>
      </c>
      <c r="T53" s="9" t="s">
        <v>2</v>
      </c>
      <c r="U53" s="137" t="s">
        <v>4</v>
      </c>
      <c r="V53" s="138" t="s">
        <v>575</v>
      </c>
      <c r="W53" s="9" t="s">
        <v>41</v>
      </c>
      <c r="X53" s="9" t="s">
        <v>345</v>
      </c>
      <c r="Y53" s="149" t="s">
        <v>35</v>
      </c>
      <c r="Z53" s="147">
        <f t="shared" si="4"/>
        <v>8.32</v>
      </c>
      <c r="AA53" s="151" t="str" cm="1">
        <f t="array" ref="AA53">_xlfn.IFS( Z53&gt;=9, "A+", Z53&gt;=8.5, "A", Z53&gt;=8, "B+", Z53&gt;=7, "B", Z53&gt;=6.5, "C+", Z53&gt;=5.5, "C", Z53&gt;=5, "D+", Z53&gt;=4, "D", Z53&lt;4, "F" )</f>
        <v>B+</v>
      </c>
    </row>
    <row r="54" spans="1:27" ht="20.25" customHeight="1" x14ac:dyDescent="0.3">
      <c r="A54" s="1">
        <v>628</v>
      </c>
      <c r="B54" s="6">
        <f>IF(LEN(C54=0),SUBTOTAL(3,$C$10:C54),"")</f>
        <v>45</v>
      </c>
      <c r="C54" s="54" t="s">
        <v>196</v>
      </c>
      <c r="D54" s="55" t="s">
        <v>545</v>
      </c>
      <c r="E54" s="56" t="s">
        <v>437</v>
      </c>
      <c r="F54" s="54" t="s">
        <v>362</v>
      </c>
      <c r="G54" s="57">
        <v>10</v>
      </c>
      <c r="H54" s="57">
        <v>8</v>
      </c>
      <c r="I54" s="64" t="s">
        <v>0</v>
      </c>
      <c r="J54" s="57">
        <v>8.5</v>
      </c>
      <c r="K54" s="10"/>
      <c r="L54" s="68">
        <v>7.5</v>
      </c>
      <c r="M54" s="69" t="str">
        <f>IFERROR(LOOKUP(INT(L54),Sheet1!$A$2:$A$12,Sheet1!$B$2:$B$12)&amp;" phẩy "&amp;(LOOKUP(ROUND(L54-INT(L54),1)*10,Sheet1!$A$2:$A$12,Sheet1!$C$2:$C$12)),"")</f>
        <v>Bảy phẩy năm</v>
      </c>
      <c r="N54" s="41"/>
      <c r="O54" s="20" t="s">
        <v>0</v>
      </c>
      <c r="P54" s="7">
        <f t="shared" si="0"/>
        <v>3.5</v>
      </c>
      <c r="Q54" s="8" t="str">
        <f t="shared" si="1"/>
        <v/>
      </c>
      <c r="R54" s="39" t="str">
        <f t="shared" si="2"/>
        <v>09</v>
      </c>
      <c r="S54" s="8" t="str">
        <f t="shared" si="3"/>
        <v/>
      </c>
      <c r="T54" s="9" t="s">
        <v>2</v>
      </c>
      <c r="U54" s="137" t="s">
        <v>4</v>
      </c>
      <c r="V54" s="138" t="s">
        <v>575</v>
      </c>
      <c r="W54" s="9" t="s">
        <v>41</v>
      </c>
      <c r="X54" s="9" t="s">
        <v>345</v>
      </c>
      <c r="Y54" s="149" t="s">
        <v>35</v>
      </c>
      <c r="Z54" s="147">
        <f t="shared" si="4"/>
        <v>8</v>
      </c>
      <c r="AA54" s="151" t="str" cm="1">
        <f t="array" ref="AA54">_xlfn.IFS( Z54&gt;=9, "A+", Z54&gt;=8.5, "A", Z54&gt;=8, "B+", Z54&gt;=7, "B", Z54&gt;=6.5, "C+", Z54&gt;=5.5, "C", Z54&gt;=5, "D+", Z54&gt;=4, "D", Z54&lt;4, "F" )</f>
        <v>B+</v>
      </c>
    </row>
    <row r="55" spans="1:27" ht="20.25" customHeight="1" x14ac:dyDescent="0.3">
      <c r="A55" s="1">
        <v>629</v>
      </c>
      <c r="B55" s="6">
        <f>IF(LEN(C55=0),SUBTOTAL(3,$C$10:C55),"")</f>
        <v>46</v>
      </c>
      <c r="C55" s="54" t="s">
        <v>211</v>
      </c>
      <c r="D55" s="55" t="s">
        <v>546</v>
      </c>
      <c r="E55" s="56" t="s">
        <v>437</v>
      </c>
      <c r="F55" s="54" t="s">
        <v>400</v>
      </c>
      <c r="G55" s="57">
        <v>6</v>
      </c>
      <c r="H55" s="57">
        <v>8.5</v>
      </c>
      <c r="I55" s="64" t="s">
        <v>0</v>
      </c>
      <c r="J55" s="57">
        <v>8</v>
      </c>
      <c r="K55" s="10"/>
      <c r="L55" s="68">
        <v>4.8</v>
      </c>
      <c r="M55" s="69" t="str">
        <f>IFERROR(LOOKUP(INT(L55),Sheet1!$A$2:$A$12,Sheet1!$B$2:$B$12)&amp;" phẩy "&amp;(LOOKUP(ROUND(L55-INT(L55),1)*10,Sheet1!$A$2:$A$12,Sheet1!$C$2:$C$12)),"")</f>
        <v>Bốn phẩy tám</v>
      </c>
      <c r="N55" s="41"/>
      <c r="O55" s="20" t="s">
        <v>0</v>
      </c>
      <c r="P55" s="7">
        <f t="shared" si="0"/>
        <v>3.1</v>
      </c>
      <c r="Q55" s="8" t="str">
        <f t="shared" si="1"/>
        <v/>
      </c>
      <c r="R55" s="39" t="str">
        <f t="shared" si="2"/>
        <v>09</v>
      </c>
      <c r="S55" s="8" t="str">
        <f t="shared" si="3"/>
        <v/>
      </c>
      <c r="T55" s="9" t="s">
        <v>2</v>
      </c>
      <c r="U55" s="137" t="s">
        <v>4</v>
      </c>
      <c r="V55" s="138" t="s">
        <v>575</v>
      </c>
      <c r="W55" s="9" t="s">
        <v>41</v>
      </c>
      <c r="X55" s="9" t="s">
        <v>345</v>
      </c>
      <c r="Y55" s="149" t="s">
        <v>35</v>
      </c>
      <c r="Z55" s="147">
        <f t="shared" si="4"/>
        <v>5.93</v>
      </c>
      <c r="AA55" s="151" t="str" cm="1">
        <f t="array" ref="AA55">_xlfn.IFS( Z55&gt;=9, "A+", Z55&gt;=8.5, "A", Z55&gt;=8, "B+", Z55&gt;=7, "B", Z55&gt;=6.5, "C+", Z55&gt;=5.5, "C", Z55&gt;=5, "D+", Z55&gt;=4, "D", Z55&lt;4, "F" )</f>
        <v>C</v>
      </c>
    </row>
    <row r="56" spans="1:27" ht="20.25" customHeight="1" x14ac:dyDescent="0.3">
      <c r="A56" s="1">
        <v>630</v>
      </c>
      <c r="B56" s="6">
        <f>IF(LEN(C56=0),SUBTOTAL(3,$C$10:C56),"")</f>
        <v>47</v>
      </c>
      <c r="C56" s="54" t="s">
        <v>256</v>
      </c>
      <c r="D56" s="55" t="s">
        <v>487</v>
      </c>
      <c r="E56" s="56" t="s">
        <v>547</v>
      </c>
      <c r="F56" s="54" t="s">
        <v>372</v>
      </c>
      <c r="G56" s="57">
        <v>9.5</v>
      </c>
      <c r="H56" s="57">
        <v>7</v>
      </c>
      <c r="I56" s="64" t="s">
        <v>0</v>
      </c>
      <c r="J56" s="57">
        <v>7</v>
      </c>
      <c r="K56" s="10"/>
      <c r="L56" s="68">
        <v>8.5</v>
      </c>
      <c r="M56" s="69" t="str">
        <f>IFERROR(LOOKUP(INT(L56),Sheet1!$A$2:$A$12,Sheet1!$B$2:$B$12)&amp;" phẩy "&amp;(LOOKUP(ROUND(L56-INT(L56),1)*10,Sheet1!$A$2:$A$12,Sheet1!$C$2:$C$12)),"")</f>
        <v>Tám phẩy năm</v>
      </c>
      <c r="N56" s="41"/>
      <c r="O56" s="20" t="s">
        <v>0</v>
      </c>
      <c r="P56" s="7">
        <f t="shared" si="0"/>
        <v>3.1</v>
      </c>
      <c r="Q56" s="8" t="str">
        <f t="shared" si="1"/>
        <v/>
      </c>
      <c r="R56" s="39" t="str">
        <f t="shared" si="2"/>
        <v>09</v>
      </c>
      <c r="S56" s="8" t="str">
        <f t="shared" si="3"/>
        <v/>
      </c>
      <c r="T56" s="9" t="s">
        <v>2</v>
      </c>
      <c r="U56" s="137" t="s">
        <v>4</v>
      </c>
      <c r="V56" s="138" t="s">
        <v>575</v>
      </c>
      <c r="W56" s="9" t="s">
        <v>41</v>
      </c>
      <c r="X56" s="9" t="s">
        <v>345</v>
      </c>
      <c r="Y56" s="149" t="s">
        <v>35</v>
      </c>
      <c r="Z56" s="147">
        <f t="shared" si="4"/>
        <v>8.15</v>
      </c>
      <c r="AA56" s="151" t="str" cm="1">
        <f t="array" ref="AA56">_xlfn.IFS( Z56&gt;=9, "A+", Z56&gt;=8.5, "A", Z56&gt;=8, "B+", Z56&gt;=7, "B", Z56&gt;=6.5, "C+", Z56&gt;=5.5, "C", Z56&gt;=5, "D+", Z56&gt;=4, "D", Z56&lt;4, "F" )</f>
        <v>B+</v>
      </c>
    </row>
    <row r="57" spans="1:27" ht="20.25" customHeight="1" x14ac:dyDescent="0.3">
      <c r="A57" s="1">
        <v>631</v>
      </c>
      <c r="B57" s="6">
        <f>IF(LEN(C57=0),SUBTOTAL(3,$C$10:C57),"")</f>
        <v>48</v>
      </c>
      <c r="C57" s="54" t="s">
        <v>263</v>
      </c>
      <c r="D57" s="55" t="s">
        <v>548</v>
      </c>
      <c r="E57" s="56" t="s">
        <v>496</v>
      </c>
      <c r="F57" s="54" t="s">
        <v>359</v>
      </c>
      <c r="G57" s="57">
        <v>10</v>
      </c>
      <c r="H57" s="57">
        <v>8</v>
      </c>
      <c r="I57" s="64" t="s">
        <v>0</v>
      </c>
      <c r="J57" s="57">
        <v>7</v>
      </c>
      <c r="K57" s="10"/>
      <c r="L57" s="68">
        <v>6.2</v>
      </c>
      <c r="M57" s="69" t="str">
        <f>IFERROR(LOOKUP(INT(L57),Sheet1!$A$2:$A$12,Sheet1!$B$2:$B$12)&amp;" phẩy "&amp;(LOOKUP(ROUND(L57-INT(L57),1)*10,Sheet1!$A$2:$A$12,Sheet1!$C$2:$C$12)),"")</f>
        <v>Sáu phẩy hai</v>
      </c>
      <c r="N57" s="41"/>
      <c r="O57" s="20" t="s">
        <v>0</v>
      </c>
      <c r="P57" s="7">
        <f t="shared" si="0"/>
        <v>3.2</v>
      </c>
      <c r="Q57" s="8" t="str">
        <f t="shared" si="1"/>
        <v/>
      </c>
      <c r="R57" s="39" t="str">
        <f t="shared" si="2"/>
        <v>09</v>
      </c>
      <c r="S57" s="8" t="str">
        <f t="shared" si="3"/>
        <v/>
      </c>
      <c r="T57" s="9" t="s">
        <v>2</v>
      </c>
      <c r="U57" s="137" t="s">
        <v>4</v>
      </c>
      <c r="V57" s="138" t="s">
        <v>575</v>
      </c>
      <c r="W57" s="9" t="s">
        <v>41</v>
      </c>
      <c r="X57" s="9" t="s">
        <v>345</v>
      </c>
      <c r="Y57" s="149" t="s">
        <v>35</v>
      </c>
      <c r="Z57" s="147">
        <f t="shared" si="4"/>
        <v>6.92</v>
      </c>
      <c r="AA57" s="151" t="str" cm="1">
        <f t="array" ref="AA57">_xlfn.IFS( Z57&gt;=9, "A+", Z57&gt;=8.5, "A", Z57&gt;=8, "B+", Z57&gt;=7, "B", Z57&gt;=6.5, "C+", Z57&gt;=5.5, "C", Z57&gt;=5, "D+", Z57&gt;=4, "D", Z57&lt;4, "F" )</f>
        <v>C+</v>
      </c>
    </row>
    <row r="58" spans="1:27" ht="20.25" customHeight="1" x14ac:dyDescent="0.3">
      <c r="A58" s="1">
        <v>632</v>
      </c>
      <c r="B58" s="6">
        <f>IF(LEN(C58=0),SUBTOTAL(3,$C$10:C58),"")</f>
        <v>49</v>
      </c>
      <c r="C58" s="54" t="s">
        <v>197</v>
      </c>
      <c r="D58" s="55" t="s">
        <v>549</v>
      </c>
      <c r="E58" s="56" t="s">
        <v>550</v>
      </c>
      <c r="F58" s="54" t="s">
        <v>364</v>
      </c>
      <c r="G58" s="57">
        <v>9</v>
      </c>
      <c r="H58" s="57">
        <v>8.5</v>
      </c>
      <c r="I58" s="64" t="s">
        <v>0</v>
      </c>
      <c r="J58" s="57">
        <v>8</v>
      </c>
      <c r="K58" s="10"/>
      <c r="L58" s="68">
        <v>9</v>
      </c>
      <c r="M58" s="69" t="str">
        <f>IFERROR(LOOKUP(INT(L58),Sheet1!$A$2:$A$12,Sheet1!$B$2:$B$12)&amp;" phẩy "&amp;(LOOKUP(ROUND(L58-INT(L58),1)*10,Sheet1!$A$2:$A$12,Sheet1!$C$2:$C$12)),"")</f>
        <v>Chín phẩy không</v>
      </c>
      <c r="N58" s="41"/>
      <c r="O58" s="20" t="s">
        <v>0</v>
      </c>
      <c r="P58" s="7">
        <f t="shared" si="0"/>
        <v>3.4</v>
      </c>
      <c r="Q58" s="8" t="str">
        <f t="shared" si="1"/>
        <v/>
      </c>
      <c r="R58" s="39" t="str">
        <f t="shared" si="2"/>
        <v>09</v>
      </c>
      <c r="S58" s="8" t="str">
        <f t="shared" si="3"/>
        <v/>
      </c>
      <c r="T58" s="9" t="s">
        <v>2</v>
      </c>
      <c r="U58" s="137" t="s">
        <v>4</v>
      </c>
      <c r="V58" s="138" t="s">
        <v>575</v>
      </c>
      <c r="W58" s="9" t="s">
        <v>41</v>
      </c>
      <c r="X58" s="9" t="s">
        <v>345</v>
      </c>
      <c r="Y58" s="149" t="s">
        <v>35</v>
      </c>
      <c r="Z58" s="147">
        <f t="shared" si="4"/>
        <v>8.75</v>
      </c>
      <c r="AA58" s="151" t="str" cm="1">
        <f t="array" ref="AA58">_xlfn.IFS( Z58&gt;=9, "A+", Z58&gt;=8.5, "A", Z58&gt;=8, "B+", Z58&gt;=7, "B", Z58&gt;=6.5, "C+", Z58&gt;=5.5, "C", Z58&gt;=5, "D+", Z58&gt;=4, "D", Z58&lt;4, "F" )</f>
        <v>A</v>
      </c>
    </row>
    <row r="59" spans="1:27" ht="20.25" customHeight="1" x14ac:dyDescent="0.3">
      <c r="A59" s="1">
        <v>633</v>
      </c>
      <c r="B59" s="6">
        <f>IF(LEN(C59=0),SUBTOTAL(3,$C$10:C59),"")</f>
        <v>50</v>
      </c>
      <c r="C59" s="54" t="s">
        <v>168</v>
      </c>
      <c r="D59" s="55" t="s">
        <v>551</v>
      </c>
      <c r="E59" s="56" t="s">
        <v>515</v>
      </c>
      <c r="F59" s="54" t="s">
        <v>385</v>
      </c>
      <c r="G59" s="57">
        <v>8</v>
      </c>
      <c r="H59" s="57">
        <v>8</v>
      </c>
      <c r="I59" s="64" t="s">
        <v>0</v>
      </c>
      <c r="J59" s="57">
        <v>7</v>
      </c>
      <c r="K59" s="10"/>
      <c r="L59" s="68">
        <v>4.2</v>
      </c>
      <c r="M59" s="69" t="str">
        <f>IFERROR(LOOKUP(INT(L59),Sheet1!$A$2:$A$12,Sheet1!$B$2:$B$12)&amp;" phẩy "&amp;(LOOKUP(ROUND(L59-INT(L59),1)*10,Sheet1!$A$2:$A$12,Sheet1!$C$2:$C$12)),"")</f>
        <v>Bốn phẩy hai</v>
      </c>
      <c r="N59" s="41"/>
      <c r="O59" s="20" t="s">
        <v>0</v>
      </c>
      <c r="P59" s="7">
        <f t="shared" si="0"/>
        <v>3</v>
      </c>
      <c r="Q59" s="8" t="str">
        <f t="shared" si="1"/>
        <v/>
      </c>
      <c r="R59" s="39" t="str">
        <f t="shared" si="2"/>
        <v>09</v>
      </c>
      <c r="S59" s="8" t="str">
        <f t="shared" si="3"/>
        <v/>
      </c>
      <c r="T59" s="9" t="s">
        <v>2</v>
      </c>
      <c r="U59" s="137" t="s">
        <v>4</v>
      </c>
      <c r="V59" s="138" t="s">
        <v>575</v>
      </c>
      <c r="W59" s="9" t="s">
        <v>41</v>
      </c>
      <c r="X59" s="9" t="s">
        <v>345</v>
      </c>
      <c r="Y59" s="149" t="s">
        <v>35</v>
      </c>
      <c r="Z59" s="147">
        <f t="shared" si="4"/>
        <v>5.52</v>
      </c>
      <c r="AA59" s="151" t="str" cm="1">
        <f t="array" ref="AA59">_xlfn.IFS( Z59&gt;=9, "A+", Z59&gt;=8.5, "A", Z59&gt;=8, "B+", Z59&gt;=7, "B", Z59&gt;=6.5, "C+", Z59&gt;=5.5, "C", Z59&gt;=5, "D+", Z59&gt;=4, "D", Z59&lt;4, "F" )</f>
        <v>C</v>
      </c>
    </row>
    <row r="60" spans="1:27" ht="20.25" customHeight="1" x14ac:dyDescent="0.3">
      <c r="A60" s="1">
        <v>634</v>
      </c>
      <c r="B60" s="6">
        <f>IF(LEN(C60=0),SUBTOTAL(3,$C$10:C60),"")</f>
        <v>51</v>
      </c>
      <c r="C60" s="54" t="s">
        <v>159</v>
      </c>
      <c r="D60" s="55" t="s">
        <v>552</v>
      </c>
      <c r="E60" s="56" t="s">
        <v>553</v>
      </c>
      <c r="F60" s="54" t="s">
        <v>369</v>
      </c>
      <c r="G60" s="57">
        <v>9</v>
      </c>
      <c r="H60" s="57">
        <v>8.5</v>
      </c>
      <c r="I60" s="64" t="s">
        <v>0</v>
      </c>
      <c r="J60" s="57">
        <v>8</v>
      </c>
      <c r="K60" s="10"/>
      <c r="L60" s="68">
        <v>7.5</v>
      </c>
      <c r="M60" s="69" t="str">
        <f>IFERROR(LOOKUP(INT(L60),Sheet1!$A$2:$A$12,Sheet1!$B$2:$B$12)&amp;" phẩy "&amp;(LOOKUP(ROUND(L60-INT(L60),1)*10,Sheet1!$A$2:$A$12,Sheet1!$C$2:$C$12)),"")</f>
        <v>Bảy phẩy năm</v>
      </c>
      <c r="N60" s="41"/>
      <c r="O60" s="20" t="s">
        <v>0</v>
      </c>
      <c r="P60" s="7">
        <f t="shared" si="0"/>
        <v>3.4</v>
      </c>
      <c r="Q60" s="8" t="str">
        <f t="shared" si="1"/>
        <v/>
      </c>
      <c r="R60" s="39" t="str">
        <f t="shared" si="2"/>
        <v>09</v>
      </c>
      <c r="S60" s="8" t="str">
        <f t="shared" si="3"/>
        <v/>
      </c>
      <c r="T60" s="9" t="s">
        <v>2</v>
      </c>
      <c r="U60" s="137" t="s">
        <v>4</v>
      </c>
      <c r="V60" s="138" t="s">
        <v>575</v>
      </c>
      <c r="W60" s="9" t="s">
        <v>41</v>
      </c>
      <c r="X60" s="9" t="s">
        <v>345</v>
      </c>
      <c r="Y60" s="149" t="s">
        <v>35</v>
      </c>
      <c r="Z60" s="147">
        <f t="shared" si="4"/>
        <v>7.85</v>
      </c>
      <c r="AA60" s="151" t="str" cm="1">
        <f t="array" ref="AA60">_xlfn.IFS( Z60&gt;=9, "A+", Z60&gt;=8.5, "A", Z60&gt;=8, "B+", Z60&gt;=7, "B", Z60&gt;=6.5, "C+", Z60&gt;=5.5, "C", Z60&gt;=5, "D+", Z60&gt;=4, "D", Z60&lt;4, "F" )</f>
        <v>B</v>
      </c>
    </row>
    <row r="61" spans="1:27" ht="20.25" customHeight="1" x14ac:dyDescent="0.3">
      <c r="A61" s="1">
        <v>635</v>
      </c>
      <c r="B61" s="6">
        <f>IF(LEN(C61=0),SUBTOTAL(3,$C$10:C61),"")</f>
        <v>52</v>
      </c>
      <c r="C61" s="54" t="s">
        <v>146</v>
      </c>
      <c r="D61" s="55" t="s">
        <v>554</v>
      </c>
      <c r="E61" s="56" t="s">
        <v>555</v>
      </c>
      <c r="F61" s="54" t="s">
        <v>413</v>
      </c>
      <c r="G61" s="57">
        <v>10</v>
      </c>
      <c r="H61" s="57">
        <v>8.5</v>
      </c>
      <c r="I61" s="64" t="s">
        <v>0</v>
      </c>
      <c r="J61" s="57">
        <v>8</v>
      </c>
      <c r="K61" s="10"/>
      <c r="L61" s="68">
        <v>3.8</v>
      </c>
      <c r="M61" s="69" t="str">
        <f>IFERROR(LOOKUP(INT(L61),Sheet1!$A$2:$A$12,Sheet1!$B$2:$B$12)&amp;" phẩy "&amp;(LOOKUP(ROUND(L61-INT(L61),1)*10,Sheet1!$A$2:$A$12,Sheet1!$C$2:$C$12)),"")</f>
        <v>Ba phẩy tám</v>
      </c>
      <c r="N61" s="41"/>
      <c r="O61" s="20" t="s">
        <v>0</v>
      </c>
      <c r="P61" s="7">
        <f t="shared" si="0"/>
        <v>3.5</v>
      </c>
      <c r="Q61" s="8" t="str">
        <f t="shared" si="1"/>
        <v/>
      </c>
      <c r="R61" s="39" t="str">
        <f t="shared" si="2"/>
        <v>09</v>
      </c>
      <c r="S61" s="8" t="str">
        <f t="shared" si="3"/>
        <v/>
      </c>
      <c r="T61" s="9" t="s">
        <v>2</v>
      </c>
      <c r="U61" s="137" t="s">
        <v>4</v>
      </c>
      <c r="V61" s="138" t="s">
        <v>575</v>
      </c>
      <c r="W61" s="9" t="s">
        <v>41</v>
      </c>
      <c r="X61" s="9" t="s">
        <v>345</v>
      </c>
      <c r="Y61" s="149" t="s">
        <v>35</v>
      </c>
      <c r="Z61" s="147">
        <f t="shared" si="4"/>
        <v>5.73</v>
      </c>
      <c r="AA61" s="151" t="str" cm="1">
        <f t="array" ref="AA61">_xlfn.IFS( Z61&gt;=9, "A+", Z61&gt;=8.5, "A", Z61&gt;=8, "B+", Z61&gt;=7, "B", Z61&gt;=6.5, "C+", Z61&gt;=5.5, "C", Z61&gt;=5, "D+", Z61&gt;=4, "D", Z61&lt;4, "F" )</f>
        <v>C</v>
      </c>
    </row>
    <row r="62" spans="1:27" ht="20.25" customHeight="1" x14ac:dyDescent="0.3">
      <c r="A62" s="1">
        <v>636</v>
      </c>
      <c r="B62" s="6">
        <f>IF(LEN(C62=0),SUBTOTAL(3,$C$10:C62),"")</f>
        <v>53</v>
      </c>
      <c r="C62" s="54" t="s">
        <v>214</v>
      </c>
      <c r="D62" s="55" t="s">
        <v>504</v>
      </c>
      <c r="E62" s="56" t="s">
        <v>443</v>
      </c>
      <c r="F62" s="54" t="s">
        <v>372</v>
      </c>
      <c r="G62" s="57">
        <v>2</v>
      </c>
      <c r="H62" s="57">
        <v>3</v>
      </c>
      <c r="I62" s="64" t="s">
        <v>0</v>
      </c>
      <c r="J62" s="57">
        <v>3</v>
      </c>
      <c r="K62" s="10"/>
      <c r="L62" s="68">
        <v>0</v>
      </c>
      <c r="M62" s="69" t="str">
        <f>IFERROR(LOOKUP(INT(L62),Sheet1!$A$2:$A$12,Sheet1!$B$2:$B$12)&amp;" phẩy "&amp;(LOOKUP(ROUND(L62-INT(L62),1)*10,Sheet1!$A$2:$A$12,Sheet1!$C$2:$C$12)),"")</f>
        <v>Không phẩy không</v>
      </c>
      <c r="N62" s="41"/>
      <c r="O62" s="20" t="s">
        <v>0</v>
      </c>
      <c r="P62" s="7">
        <f t="shared" si="0"/>
        <v>1.1000000000000001</v>
      </c>
      <c r="Q62" s="8" t="str">
        <f t="shared" si="1"/>
        <v/>
      </c>
      <c r="R62" s="39" t="str">
        <f t="shared" si="2"/>
        <v>09</v>
      </c>
      <c r="S62" s="8" t="str">
        <f t="shared" si="3"/>
        <v/>
      </c>
      <c r="T62" s="9" t="s">
        <v>2</v>
      </c>
      <c r="U62" s="137" t="s">
        <v>4</v>
      </c>
      <c r="V62" s="138" t="s">
        <v>575</v>
      </c>
      <c r="W62" s="9" t="s">
        <v>41</v>
      </c>
      <c r="X62" s="9" t="s">
        <v>345</v>
      </c>
      <c r="Y62" s="149" t="s">
        <v>35</v>
      </c>
      <c r="Z62" s="147">
        <f t="shared" si="4"/>
        <v>1.1000000000000001</v>
      </c>
      <c r="AA62" s="151" t="str" cm="1">
        <f t="array" ref="AA62">_xlfn.IFS( Z62&gt;=9, "A+", Z62&gt;=8.5, "A", Z62&gt;=8, "B+", Z62&gt;=7, "B", Z62&gt;=6.5, "C+", Z62&gt;=5.5, "C", Z62&gt;=5, "D+", Z62&gt;=4, "D", Z62&lt;4, "F" )</f>
        <v>F</v>
      </c>
    </row>
    <row r="63" spans="1:27" ht="20.25" customHeight="1" x14ac:dyDescent="0.3">
      <c r="A63" s="1">
        <v>637</v>
      </c>
      <c r="B63" s="6">
        <f>IF(LEN(C63=0),SUBTOTAL(3,$C$10:C63),"")</f>
        <v>54</v>
      </c>
      <c r="C63" s="54" t="s">
        <v>186</v>
      </c>
      <c r="D63" s="55" t="s">
        <v>556</v>
      </c>
      <c r="E63" s="56" t="s">
        <v>445</v>
      </c>
      <c r="F63" s="54" t="s">
        <v>364</v>
      </c>
      <c r="G63" s="57">
        <v>9</v>
      </c>
      <c r="H63" s="57">
        <v>8.5</v>
      </c>
      <c r="I63" s="64" t="s">
        <v>0</v>
      </c>
      <c r="J63" s="57">
        <v>8</v>
      </c>
      <c r="K63" s="10"/>
      <c r="L63" s="68">
        <v>8.3000000000000007</v>
      </c>
      <c r="M63" s="69" t="str">
        <f>IFERROR(LOOKUP(INT(L63),Sheet1!$A$2:$A$12,Sheet1!$B$2:$B$12)&amp;" phẩy "&amp;(LOOKUP(ROUND(L63-INT(L63),1)*10,Sheet1!$A$2:$A$12,Sheet1!$C$2:$C$12)),"")</f>
        <v>Tám phẩy ba</v>
      </c>
      <c r="N63" s="41"/>
      <c r="O63" s="20" t="s">
        <v>0</v>
      </c>
      <c r="P63" s="7">
        <f t="shared" si="0"/>
        <v>3.4</v>
      </c>
      <c r="Q63" s="8" t="str">
        <f t="shared" si="1"/>
        <v/>
      </c>
      <c r="R63" s="39" t="str">
        <f t="shared" si="2"/>
        <v>09</v>
      </c>
      <c r="S63" s="8" t="str">
        <f t="shared" si="3"/>
        <v/>
      </c>
      <c r="T63" s="9" t="s">
        <v>2</v>
      </c>
      <c r="U63" s="137" t="s">
        <v>4</v>
      </c>
      <c r="V63" s="138" t="s">
        <v>575</v>
      </c>
      <c r="W63" s="9" t="s">
        <v>41</v>
      </c>
      <c r="X63" s="9" t="s">
        <v>345</v>
      </c>
      <c r="Y63" s="149" t="s">
        <v>35</v>
      </c>
      <c r="Z63" s="147">
        <f t="shared" si="4"/>
        <v>8.33</v>
      </c>
      <c r="AA63" s="151" t="str" cm="1">
        <f t="array" ref="AA63">_xlfn.IFS( Z63&gt;=9, "A+", Z63&gt;=8.5, "A", Z63&gt;=8, "B+", Z63&gt;=7, "B", Z63&gt;=6.5, "C+", Z63&gt;=5.5, "C", Z63&gt;=5, "D+", Z63&gt;=4, "D", Z63&lt;4, "F" )</f>
        <v>B+</v>
      </c>
    </row>
    <row r="64" spans="1:27" ht="20.25" customHeight="1" x14ac:dyDescent="0.3">
      <c r="A64" s="1">
        <v>638</v>
      </c>
      <c r="B64" s="6">
        <f>IF(LEN(C64=0),SUBTOTAL(3,$C$10:C64),"")</f>
        <v>55</v>
      </c>
      <c r="C64" s="54" t="s">
        <v>212</v>
      </c>
      <c r="D64" s="55" t="s">
        <v>557</v>
      </c>
      <c r="E64" s="56" t="s">
        <v>509</v>
      </c>
      <c r="F64" s="54" t="s">
        <v>359</v>
      </c>
      <c r="G64" s="57">
        <v>8</v>
      </c>
      <c r="H64" s="57">
        <v>8</v>
      </c>
      <c r="I64" s="64" t="s">
        <v>0</v>
      </c>
      <c r="J64" s="57">
        <v>7.5</v>
      </c>
      <c r="K64" s="10"/>
      <c r="L64" s="68">
        <v>6.7</v>
      </c>
      <c r="M64" s="69" t="str">
        <f>IFERROR(LOOKUP(INT(L64),Sheet1!$A$2:$A$12,Sheet1!$B$2:$B$12)&amp;" phẩy "&amp;(LOOKUP(ROUND(L64-INT(L64),1)*10,Sheet1!$A$2:$A$12,Sheet1!$C$2:$C$12)),"")</f>
        <v>Sáu phẩy bảy</v>
      </c>
      <c r="N64" s="41"/>
      <c r="O64" s="20" t="s">
        <v>0</v>
      </c>
      <c r="P64" s="7">
        <f t="shared" si="0"/>
        <v>3.1</v>
      </c>
      <c r="Q64" s="8" t="str">
        <f t="shared" si="1"/>
        <v/>
      </c>
      <c r="R64" s="39" t="str">
        <f t="shared" si="2"/>
        <v>09</v>
      </c>
      <c r="S64" s="8" t="str">
        <f t="shared" si="3"/>
        <v/>
      </c>
      <c r="T64" s="9" t="s">
        <v>2</v>
      </c>
      <c r="U64" s="137" t="s">
        <v>4</v>
      </c>
      <c r="V64" s="138" t="s">
        <v>575</v>
      </c>
      <c r="W64" s="9" t="s">
        <v>41</v>
      </c>
      <c r="X64" s="9" t="s">
        <v>345</v>
      </c>
      <c r="Y64" s="149" t="s">
        <v>35</v>
      </c>
      <c r="Z64" s="147">
        <f t="shared" si="4"/>
        <v>7.1199999999999992</v>
      </c>
      <c r="AA64" s="151" t="str" cm="1">
        <f t="array" ref="AA64">_xlfn.IFS( Z64&gt;=9, "A+", Z64&gt;=8.5, "A", Z64&gt;=8, "B+", Z64&gt;=7, "B", Z64&gt;=6.5, "C+", Z64&gt;=5.5, "C", Z64&gt;=5, "D+", Z64&gt;=4, "D", Z64&lt;4, "F" )</f>
        <v>B</v>
      </c>
    </row>
    <row r="65" spans="1:27" ht="20.25" customHeight="1" x14ac:dyDescent="0.3">
      <c r="A65" s="1">
        <v>639</v>
      </c>
      <c r="B65" s="6">
        <f>IF(LEN(C65=0),SUBTOTAL(3,$C$10:C65),"")</f>
        <v>56</v>
      </c>
      <c r="C65" s="54" t="s">
        <v>162</v>
      </c>
      <c r="D65" s="55" t="s">
        <v>558</v>
      </c>
      <c r="E65" s="56" t="s">
        <v>497</v>
      </c>
      <c r="F65" s="54" t="s">
        <v>364</v>
      </c>
      <c r="G65" s="57">
        <v>9</v>
      </c>
      <c r="H65" s="57">
        <v>7.5</v>
      </c>
      <c r="I65" s="64" t="s">
        <v>0</v>
      </c>
      <c r="J65" s="57">
        <v>7</v>
      </c>
      <c r="K65" s="10"/>
      <c r="L65" s="68">
        <v>6.3</v>
      </c>
      <c r="M65" s="69" t="str">
        <f>IFERROR(LOOKUP(INT(L65),Sheet1!$A$2:$A$12,Sheet1!$B$2:$B$12)&amp;" phẩy "&amp;(LOOKUP(ROUND(L65-INT(L65),1)*10,Sheet1!$A$2:$A$12,Sheet1!$C$2:$C$12)),"")</f>
        <v>Sáu phẩy ba</v>
      </c>
      <c r="N65" s="41"/>
      <c r="O65" s="20" t="s">
        <v>0</v>
      </c>
      <c r="P65" s="7">
        <f t="shared" si="0"/>
        <v>3.1</v>
      </c>
      <c r="Q65" s="8" t="str">
        <f t="shared" si="1"/>
        <v/>
      </c>
      <c r="R65" s="39" t="str">
        <f t="shared" si="2"/>
        <v>09</v>
      </c>
      <c r="S65" s="8" t="str">
        <f t="shared" si="3"/>
        <v/>
      </c>
      <c r="T65" s="9" t="s">
        <v>2</v>
      </c>
      <c r="U65" s="137" t="s">
        <v>4</v>
      </c>
      <c r="V65" s="138" t="s">
        <v>575</v>
      </c>
      <c r="W65" s="9" t="s">
        <v>41</v>
      </c>
      <c r="X65" s="9" t="s">
        <v>345</v>
      </c>
      <c r="Y65" s="149" t="s">
        <v>35</v>
      </c>
      <c r="Z65" s="147">
        <f t="shared" si="4"/>
        <v>6.83</v>
      </c>
      <c r="AA65" s="151" t="str" cm="1">
        <f t="array" ref="AA65">_xlfn.IFS( Z65&gt;=9, "A+", Z65&gt;=8.5, "A", Z65&gt;=8, "B+", Z65&gt;=7, "B", Z65&gt;=6.5, "C+", Z65&gt;=5.5, "C", Z65&gt;=5, "D+", Z65&gt;=4, "D", Z65&lt;4, "F" )</f>
        <v>C+</v>
      </c>
    </row>
    <row r="66" spans="1:27" ht="20.25" customHeight="1" x14ac:dyDescent="0.3">
      <c r="A66" s="1">
        <v>640</v>
      </c>
      <c r="B66" s="6">
        <f>IF(LEN(C66=0),SUBTOTAL(3,$C$10:C66),"")</f>
        <v>57</v>
      </c>
      <c r="C66" s="54" t="s">
        <v>130</v>
      </c>
      <c r="D66" s="55" t="s">
        <v>405</v>
      </c>
      <c r="E66" s="56" t="s">
        <v>488</v>
      </c>
      <c r="F66" s="54" t="s">
        <v>366</v>
      </c>
      <c r="G66" s="57">
        <v>10</v>
      </c>
      <c r="H66" s="57">
        <v>8.5</v>
      </c>
      <c r="I66" s="64" t="s">
        <v>0</v>
      </c>
      <c r="J66" s="57">
        <v>9</v>
      </c>
      <c r="K66" s="10"/>
      <c r="L66" s="68">
        <v>7</v>
      </c>
      <c r="M66" s="69" t="str">
        <f>IFERROR(LOOKUP(INT(L66),Sheet1!$A$2:$A$12,Sheet1!$B$2:$B$12)&amp;" phẩy "&amp;(LOOKUP(ROUND(L66-INT(L66),1)*10,Sheet1!$A$2:$A$12,Sheet1!$C$2:$C$12)),"")</f>
        <v>Bảy phẩy không</v>
      </c>
      <c r="N66" s="41"/>
      <c r="O66" s="20" t="s">
        <v>0</v>
      </c>
      <c r="P66" s="7">
        <f t="shared" si="0"/>
        <v>3.7</v>
      </c>
      <c r="Q66" s="8" t="str">
        <f t="shared" si="1"/>
        <v/>
      </c>
      <c r="R66" s="39" t="str">
        <f t="shared" si="2"/>
        <v>09</v>
      </c>
      <c r="S66" s="8" t="str">
        <f t="shared" si="3"/>
        <v/>
      </c>
      <c r="T66" s="9" t="s">
        <v>2</v>
      </c>
      <c r="U66" s="137" t="s">
        <v>4</v>
      </c>
      <c r="V66" s="138" t="s">
        <v>575</v>
      </c>
      <c r="W66" s="9" t="s">
        <v>41</v>
      </c>
      <c r="X66" s="9" t="s">
        <v>345</v>
      </c>
      <c r="Y66" s="149" t="s">
        <v>35</v>
      </c>
      <c r="Z66" s="147">
        <f t="shared" si="4"/>
        <v>7.8500000000000005</v>
      </c>
      <c r="AA66" s="151" t="str" cm="1">
        <f t="array" ref="AA66">_xlfn.IFS( Z66&gt;=9, "A+", Z66&gt;=8.5, "A", Z66&gt;=8, "B+", Z66&gt;=7, "B", Z66&gt;=6.5, "C+", Z66&gt;=5.5, "C", Z66&gt;=5, "D+", Z66&gt;=4, "D", Z66&lt;4, "F" )</f>
        <v>B</v>
      </c>
    </row>
    <row r="67" spans="1:27" ht="20.25" customHeight="1" x14ac:dyDescent="0.3">
      <c r="A67" s="1">
        <v>641</v>
      </c>
      <c r="B67" s="6">
        <f>IF(LEN(C67=0),SUBTOTAL(3,$C$10:C67),"")</f>
        <v>58</v>
      </c>
      <c r="C67" s="54" t="s">
        <v>219</v>
      </c>
      <c r="D67" s="55" t="s">
        <v>510</v>
      </c>
      <c r="E67" s="56" t="s">
        <v>458</v>
      </c>
      <c r="F67" s="54" t="s">
        <v>364</v>
      </c>
      <c r="G67" s="57">
        <v>10</v>
      </c>
      <c r="H67" s="57">
        <v>7</v>
      </c>
      <c r="I67" s="64" t="s">
        <v>0</v>
      </c>
      <c r="J67" s="57">
        <v>6.5</v>
      </c>
      <c r="K67" s="10"/>
      <c r="L67" s="68">
        <v>7.5</v>
      </c>
      <c r="M67" s="69" t="str">
        <f>IFERROR(LOOKUP(INT(L67),Sheet1!$A$2:$A$12,Sheet1!$B$2:$B$12)&amp;" phẩy "&amp;(LOOKUP(ROUND(L67-INT(L67),1)*10,Sheet1!$A$2:$A$12,Sheet1!$C$2:$C$12)),"")</f>
        <v>Bảy phẩy năm</v>
      </c>
      <c r="N67" s="41"/>
      <c r="O67" s="20" t="s">
        <v>0</v>
      </c>
      <c r="P67" s="7">
        <f t="shared" si="0"/>
        <v>3</v>
      </c>
      <c r="Q67" s="8" t="str">
        <f t="shared" si="1"/>
        <v/>
      </c>
      <c r="R67" s="39" t="str">
        <f t="shared" si="2"/>
        <v>09</v>
      </c>
      <c r="S67" s="8" t="str">
        <f t="shared" si="3"/>
        <v/>
      </c>
      <c r="T67" s="9" t="s">
        <v>2</v>
      </c>
      <c r="U67" s="137" t="s">
        <v>4</v>
      </c>
      <c r="V67" s="138" t="s">
        <v>575</v>
      </c>
      <c r="W67" s="9" t="s">
        <v>41</v>
      </c>
      <c r="X67" s="9" t="s">
        <v>345</v>
      </c>
      <c r="Y67" s="149" t="s">
        <v>35</v>
      </c>
      <c r="Z67" s="147">
        <f t="shared" si="4"/>
        <v>7.5</v>
      </c>
      <c r="AA67" s="151" t="str" cm="1">
        <f t="array" ref="AA67">_xlfn.IFS( Z67&gt;=9, "A+", Z67&gt;=8.5, "A", Z67&gt;=8, "B+", Z67&gt;=7, "B", Z67&gt;=6.5, "C+", Z67&gt;=5.5, "C", Z67&gt;=5, "D+", Z67&gt;=4, "D", Z67&lt;4, "F" )</f>
        <v>B</v>
      </c>
    </row>
    <row r="68" spans="1:27" ht="20.25" customHeight="1" x14ac:dyDescent="0.3">
      <c r="A68" s="1">
        <v>642</v>
      </c>
      <c r="B68" s="6">
        <f>IF(LEN(C68=0),SUBTOTAL(3,$C$10:C68),"")</f>
        <v>59</v>
      </c>
      <c r="C68" s="54" t="s">
        <v>97</v>
      </c>
      <c r="D68" s="55" t="s">
        <v>559</v>
      </c>
      <c r="E68" s="56" t="s">
        <v>560</v>
      </c>
      <c r="F68" s="54" t="s">
        <v>362</v>
      </c>
      <c r="G68" s="57">
        <v>10</v>
      </c>
      <c r="H68" s="57">
        <v>8.5</v>
      </c>
      <c r="I68" s="64" t="s">
        <v>0</v>
      </c>
      <c r="J68" s="57">
        <v>8</v>
      </c>
      <c r="K68" s="10"/>
      <c r="L68" s="68">
        <v>8</v>
      </c>
      <c r="M68" s="69" t="str">
        <f>IFERROR(LOOKUP(INT(L68),Sheet1!$A$2:$A$12,Sheet1!$B$2:$B$12)&amp;" phẩy "&amp;(LOOKUP(ROUND(L68-INT(L68),1)*10,Sheet1!$A$2:$A$12,Sheet1!$C$2:$C$12)),"")</f>
        <v>Tám phẩy không</v>
      </c>
      <c r="N68" s="41"/>
      <c r="O68" s="20" t="s">
        <v>0</v>
      </c>
      <c r="P68" s="7">
        <f t="shared" si="0"/>
        <v>3.5</v>
      </c>
      <c r="Q68" s="8" t="str">
        <f t="shared" si="1"/>
        <v/>
      </c>
      <c r="R68" s="39" t="str">
        <f t="shared" ref="R68:R131" si="6">LEFT(V68,2)</f>
        <v>09</v>
      </c>
      <c r="S68" s="8" t="str">
        <f t="shared" si="3"/>
        <v/>
      </c>
      <c r="T68" s="9" t="s">
        <v>2</v>
      </c>
      <c r="U68" s="137" t="s">
        <v>4</v>
      </c>
      <c r="V68" s="138" t="s">
        <v>575</v>
      </c>
      <c r="W68" s="9" t="s">
        <v>41</v>
      </c>
      <c r="X68" s="9" t="s">
        <v>345</v>
      </c>
      <c r="Y68" s="149" t="s">
        <v>35</v>
      </c>
      <c r="Z68" s="147">
        <f t="shared" si="4"/>
        <v>8.25</v>
      </c>
      <c r="AA68" s="151" t="str" cm="1">
        <f t="array" ref="AA68">_xlfn.IFS( Z68&gt;=9, "A+", Z68&gt;=8.5, "A", Z68&gt;=8, "B+", Z68&gt;=7, "B", Z68&gt;=6.5, "C+", Z68&gt;=5.5, "C", Z68&gt;=5, "D+", Z68&gt;=4, "D", Z68&lt;4, "F" )</f>
        <v>B+</v>
      </c>
    </row>
    <row r="69" spans="1:27" ht="20.25" customHeight="1" x14ac:dyDescent="0.3">
      <c r="A69" s="1">
        <v>643</v>
      </c>
      <c r="B69" s="6">
        <f>IF(LEN(C69=0),SUBTOTAL(3,$C$10:C69),"")</f>
        <v>60</v>
      </c>
      <c r="C69" s="54" t="s">
        <v>163</v>
      </c>
      <c r="D69" s="55" t="s">
        <v>561</v>
      </c>
      <c r="E69" s="56" t="s">
        <v>460</v>
      </c>
      <c r="F69" s="54" t="s">
        <v>364</v>
      </c>
      <c r="G69" s="57">
        <v>10</v>
      </c>
      <c r="H69" s="57">
        <v>8</v>
      </c>
      <c r="I69" s="64" t="s">
        <v>0</v>
      </c>
      <c r="J69" s="57">
        <v>8.5</v>
      </c>
      <c r="K69" s="10"/>
      <c r="L69" s="68">
        <v>7.3</v>
      </c>
      <c r="M69" s="69" t="str">
        <f>IFERROR(LOOKUP(INT(L69),Sheet1!$A$2:$A$12,Sheet1!$B$2:$B$12)&amp;" phẩy "&amp;(LOOKUP(ROUND(L69-INT(L69),1)*10,Sheet1!$A$2:$A$12,Sheet1!$C$2:$C$12)),"")</f>
        <v>Bảy phẩy ba</v>
      </c>
      <c r="N69" s="41"/>
      <c r="O69" s="20" t="s">
        <v>0</v>
      </c>
      <c r="P69" s="7">
        <f t="shared" si="0"/>
        <v>3.5</v>
      </c>
      <c r="Q69" s="8" t="str">
        <f t="shared" si="1"/>
        <v/>
      </c>
      <c r="R69" s="39" t="str">
        <f t="shared" si="6"/>
        <v>09</v>
      </c>
      <c r="S69" s="8" t="str">
        <f t="shared" si="3"/>
        <v/>
      </c>
      <c r="T69" s="9" t="s">
        <v>2</v>
      </c>
      <c r="U69" s="137" t="s">
        <v>4</v>
      </c>
      <c r="V69" s="138" t="s">
        <v>575</v>
      </c>
      <c r="W69" s="9" t="s">
        <v>41</v>
      </c>
      <c r="X69" s="9" t="s">
        <v>345</v>
      </c>
      <c r="Y69" s="149" t="s">
        <v>35</v>
      </c>
      <c r="Z69" s="147">
        <f t="shared" si="4"/>
        <v>7.88</v>
      </c>
      <c r="AA69" s="151" t="str" cm="1">
        <f t="array" ref="AA69">_xlfn.IFS( Z69&gt;=9, "A+", Z69&gt;=8.5, "A", Z69&gt;=8, "B+", Z69&gt;=7, "B", Z69&gt;=6.5, "C+", Z69&gt;=5.5, "C", Z69&gt;=5, "D+", Z69&gt;=4, "D", Z69&lt;4, "F" )</f>
        <v>B</v>
      </c>
    </row>
    <row r="70" spans="1:27" ht="20.25" customHeight="1" x14ac:dyDescent="0.3">
      <c r="A70" s="1">
        <v>644</v>
      </c>
      <c r="B70" s="6">
        <f>IF(LEN(C70=0),SUBTOTAL(3,$C$10:C70),"")</f>
        <v>61</v>
      </c>
      <c r="C70" s="54" t="s">
        <v>131</v>
      </c>
      <c r="D70" s="55" t="s">
        <v>562</v>
      </c>
      <c r="E70" s="56" t="s">
        <v>514</v>
      </c>
      <c r="F70" s="54" t="s">
        <v>366</v>
      </c>
      <c r="G70" s="57">
        <v>10</v>
      </c>
      <c r="H70" s="57">
        <v>8.5</v>
      </c>
      <c r="I70" s="64" t="s">
        <v>0</v>
      </c>
      <c r="J70" s="57">
        <v>9</v>
      </c>
      <c r="K70" s="10"/>
      <c r="L70" s="68">
        <v>6.3</v>
      </c>
      <c r="M70" s="69" t="str">
        <f>IFERROR(LOOKUP(INT(L70),Sheet1!$A$2:$A$12,Sheet1!$B$2:$B$12)&amp;" phẩy "&amp;(LOOKUP(ROUND(L70-INT(L70),1)*10,Sheet1!$A$2:$A$12,Sheet1!$C$2:$C$12)),"")</f>
        <v>Sáu phẩy ba</v>
      </c>
      <c r="N70" s="41"/>
      <c r="O70" s="20" t="s">
        <v>0</v>
      </c>
      <c r="P70" s="7">
        <f t="shared" si="0"/>
        <v>3.7</v>
      </c>
      <c r="Q70" s="8" t="str">
        <f t="shared" si="1"/>
        <v/>
      </c>
      <c r="R70" s="39" t="str">
        <f t="shared" si="6"/>
        <v>09</v>
      </c>
      <c r="S70" s="8" t="str">
        <f t="shared" si="3"/>
        <v/>
      </c>
      <c r="T70" s="9" t="s">
        <v>2</v>
      </c>
      <c r="U70" s="137" t="s">
        <v>4</v>
      </c>
      <c r="V70" s="138" t="s">
        <v>575</v>
      </c>
      <c r="W70" s="9" t="s">
        <v>41</v>
      </c>
      <c r="X70" s="9" t="s">
        <v>345</v>
      </c>
      <c r="Y70" s="149" t="s">
        <v>35</v>
      </c>
      <c r="Z70" s="147">
        <f t="shared" si="4"/>
        <v>7.43</v>
      </c>
      <c r="AA70" s="151" t="str" cm="1">
        <f t="array" ref="AA70">_xlfn.IFS( Z70&gt;=9, "A+", Z70&gt;=8.5, "A", Z70&gt;=8, "B+", Z70&gt;=7, "B", Z70&gt;=6.5, "C+", Z70&gt;=5.5, "C", Z70&gt;=5, "D+", Z70&gt;=4, "D", Z70&lt;4, "F" )</f>
        <v>B</v>
      </c>
    </row>
    <row r="71" spans="1:27" ht="20.25" customHeight="1" x14ac:dyDescent="0.3">
      <c r="A71" s="1">
        <v>645</v>
      </c>
      <c r="B71" s="6">
        <f>IF(LEN(C71=0),SUBTOTAL(3,$C$10:C71),"")</f>
        <v>62</v>
      </c>
      <c r="C71" s="54" t="s">
        <v>164</v>
      </c>
      <c r="D71" s="55" t="s">
        <v>563</v>
      </c>
      <c r="E71" s="56" t="s">
        <v>564</v>
      </c>
      <c r="F71" s="54" t="s">
        <v>364</v>
      </c>
      <c r="G71" s="57">
        <v>9</v>
      </c>
      <c r="H71" s="57">
        <v>8.5</v>
      </c>
      <c r="I71" s="64" t="s">
        <v>0</v>
      </c>
      <c r="J71" s="57">
        <v>8</v>
      </c>
      <c r="K71" s="10"/>
      <c r="L71" s="68">
        <v>6.2</v>
      </c>
      <c r="M71" s="69" t="str">
        <f>IFERROR(LOOKUP(INT(L71),Sheet1!$A$2:$A$12,Sheet1!$B$2:$B$12)&amp;" phẩy "&amp;(LOOKUP(ROUND(L71-INT(L71),1)*10,Sheet1!$A$2:$A$12,Sheet1!$C$2:$C$12)),"")</f>
        <v>Sáu phẩy hai</v>
      </c>
      <c r="N71" s="41"/>
      <c r="O71" s="20" t="s">
        <v>0</v>
      </c>
      <c r="P71" s="7">
        <f t="shared" si="0"/>
        <v>3.4</v>
      </c>
      <c r="Q71" s="8" t="str">
        <f t="shared" si="1"/>
        <v/>
      </c>
      <c r="R71" s="39" t="str">
        <f t="shared" si="6"/>
        <v>09</v>
      </c>
      <c r="S71" s="8" t="str">
        <f t="shared" si="3"/>
        <v/>
      </c>
      <c r="T71" s="9" t="s">
        <v>2</v>
      </c>
      <c r="U71" s="137" t="s">
        <v>4</v>
      </c>
      <c r="V71" s="138" t="s">
        <v>575</v>
      </c>
      <c r="W71" s="9" t="s">
        <v>41</v>
      </c>
      <c r="X71" s="9" t="s">
        <v>345</v>
      </c>
      <c r="Y71" s="149" t="s">
        <v>35</v>
      </c>
      <c r="Z71" s="147">
        <f t="shared" si="4"/>
        <v>7.07</v>
      </c>
      <c r="AA71" s="151" t="str" cm="1">
        <f t="array" ref="AA71">_xlfn.IFS( Z71&gt;=9, "A+", Z71&gt;=8.5, "A", Z71&gt;=8, "B+", Z71&gt;=7, "B", Z71&gt;=6.5, "C+", Z71&gt;=5.5, "C", Z71&gt;=5, "D+", Z71&gt;=4, "D", Z71&lt;4, "F" )</f>
        <v>B</v>
      </c>
    </row>
    <row r="72" spans="1:27" ht="20.25" customHeight="1" x14ac:dyDescent="0.3">
      <c r="A72" s="1">
        <v>646</v>
      </c>
      <c r="B72" s="6">
        <f>IF(LEN(C72=0),SUBTOTAL(3,$C$10:C72),"")</f>
        <v>63</v>
      </c>
      <c r="C72" s="54" t="s">
        <v>253</v>
      </c>
      <c r="D72" s="55" t="s">
        <v>565</v>
      </c>
      <c r="E72" s="56" t="s">
        <v>464</v>
      </c>
      <c r="F72" s="54" t="s">
        <v>413</v>
      </c>
      <c r="G72" s="57">
        <v>10</v>
      </c>
      <c r="H72" s="57">
        <v>8</v>
      </c>
      <c r="I72" s="64" t="s">
        <v>0</v>
      </c>
      <c r="J72" s="57">
        <v>7.5</v>
      </c>
      <c r="K72" s="10"/>
      <c r="L72" s="68">
        <v>7.8</v>
      </c>
      <c r="M72" s="69" t="str">
        <f>IFERROR(LOOKUP(INT(L72),Sheet1!$A$2:$A$12,Sheet1!$B$2:$B$12)&amp;" phẩy "&amp;(LOOKUP(ROUND(L72-INT(L72),1)*10,Sheet1!$A$2:$A$12,Sheet1!$C$2:$C$12)),"")</f>
        <v>Bảy phẩy tám</v>
      </c>
      <c r="N72" s="41"/>
      <c r="O72" s="20" t="s">
        <v>0</v>
      </c>
      <c r="P72" s="7">
        <f t="shared" si="0"/>
        <v>3.3</v>
      </c>
      <c r="Q72" s="8" t="str">
        <f t="shared" si="1"/>
        <v/>
      </c>
      <c r="R72" s="39" t="str">
        <f t="shared" si="6"/>
        <v>09</v>
      </c>
      <c r="S72" s="8" t="str">
        <f t="shared" si="3"/>
        <v/>
      </c>
      <c r="T72" s="9" t="s">
        <v>2</v>
      </c>
      <c r="U72" s="137" t="s">
        <v>4</v>
      </c>
      <c r="V72" s="138" t="s">
        <v>575</v>
      </c>
      <c r="W72" s="9" t="s">
        <v>41</v>
      </c>
      <c r="X72" s="9" t="s">
        <v>345</v>
      </c>
      <c r="Y72" s="149" t="s">
        <v>35</v>
      </c>
      <c r="Z72" s="147">
        <f t="shared" si="4"/>
        <v>7.9799999999999995</v>
      </c>
      <c r="AA72" s="151" t="s">
        <v>652</v>
      </c>
    </row>
    <row r="73" spans="1:27" ht="20.25" customHeight="1" x14ac:dyDescent="0.3">
      <c r="A73" s="1">
        <v>647</v>
      </c>
      <c r="B73" s="6">
        <f>IF(LEN(C73=0),SUBTOTAL(3,$C$10:C73),"")</f>
        <v>64</v>
      </c>
      <c r="C73" s="54" t="s">
        <v>98</v>
      </c>
      <c r="D73" s="55" t="s">
        <v>566</v>
      </c>
      <c r="E73" s="56" t="s">
        <v>464</v>
      </c>
      <c r="F73" s="54" t="s">
        <v>359</v>
      </c>
      <c r="G73" s="57">
        <v>8</v>
      </c>
      <c r="H73" s="57">
        <v>8</v>
      </c>
      <c r="I73" s="64" t="s">
        <v>0</v>
      </c>
      <c r="J73" s="57">
        <v>8.5</v>
      </c>
      <c r="K73" s="10"/>
      <c r="L73" s="68">
        <v>5.3</v>
      </c>
      <c r="M73" s="69" t="str">
        <f>IFERROR(LOOKUP(INT(L73),Sheet1!$A$2:$A$12,Sheet1!$B$2:$B$12)&amp;" phẩy "&amp;(LOOKUP(ROUND(L73-INT(L73),1)*10,Sheet1!$A$2:$A$12,Sheet1!$C$2:$C$12)),"")</f>
        <v>Năm phẩy ba</v>
      </c>
      <c r="N73" s="41"/>
      <c r="O73" s="20" t="s">
        <v>0</v>
      </c>
      <c r="P73" s="7">
        <f t="shared" si="0"/>
        <v>3.3</v>
      </c>
      <c r="Q73" s="8" t="str">
        <f t="shared" si="1"/>
        <v/>
      </c>
      <c r="R73" s="39" t="str">
        <f t="shared" si="6"/>
        <v>09</v>
      </c>
      <c r="S73" s="8" t="str">
        <f t="shared" si="3"/>
        <v/>
      </c>
      <c r="T73" s="9" t="s">
        <v>2</v>
      </c>
      <c r="U73" s="137" t="s">
        <v>4</v>
      </c>
      <c r="V73" s="138" t="s">
        <v>575</v>
      </c>
      <c r="W73" s="9" t="s">
        <v>41</v>
      </c>
      <c r="X73" s="9" t="s">
        <v>345</v>
      </c>
      <c r="Y73" s="149" t="s">
        <v>35</v>
      </c>
      <c r="Z73" s="147">
        <f t="shared" si="4"/>
        <v>6.48</v>
      </c>
      <c r="AA73" s="151" t="str" cm="1">
        <f t="array" ref="AA73">_xlfn.IFS( Z73&gt;=9, "A+", Z73&gt;=8.5, "A", Z73&gt;=8, "B+", Z73&gt;=7, "B", Z73&gt;=6.5, "C+", Z73&gt;=5.5, "C", Z73&gt;=5, "D+", Z73&gt;=4, "D", Z73&lt;4, "F" )</f>
        <v>C</v>
      </c>
    </row>
    <row r="74" spans="1:27" ht="20.25" customHeight="1" x14ac:dyDescent="0.3">
      <c r="A74" s="1">
        <v>648</v>
      </c>
      <c r="B74" s="6">
        <f>IF(LEN(C74=0),SUBTOTAL(3,$C$10:C74),"")</f>
        <v>65</v>
      </c>
      <c r="C74" s="54" t="s">
        <v>221</v>
      </c>
      <c r="D74" s="55" t="s">
        <v>567</v>
      </c>
      <c r="E74" s="56" t="s">
        <v>568</v>
      </c>
      <c r="F74" s="54" t="s">
        <v>388</v>
      </c>
      <c r="G74" s="57">
        <v>8</v>
      </c>
      <c r="H74" s="57">
        <v>3</v>
      </c>
      <c r="I74" s="64" t="s">
        <v>0</v>
      </c>
      <c r="J74" s="57">
        <v>4</v>
      </c>
      <c r="K74" s="10"/>
      <c r="L74" s="68">
        <v>5.3</v>
      </c>
      <c r="M74" s="69" t="str">
        <f>IFERROR(LOOKUP(INT(L74),Sheet1!$A$2:$A$12,Sheet1!$B$2:$B$12)&amp;" phẩy "&amp;(LOOKUP(ROUND(L74-INT(L74),1)*10,Sheet1!$A$2:$A$12,Sheet1!$C$2:$C$12)),"")</f>
        <v>Năm phẩy ba</v>
      </c>
      <c r="N74" s="41"/>
      <c r="O74" s="20" t="s">
        <v>0</v>
      </c>
      <c r="P74" s="7">
        <f t="shared" si="0"/>
        <v>1.9</v>
      </c>
      <c r="Q74" s="8" t="str">
        <f t="shared" si="1"/>
        <v/>
      </c>
      <c r="R74" s="39" t="str">
        <f t="shared" si="6"/>
        <v>09</v>
      </c>
      <c r="S74" s="8" t="str">
        <f t="shared" si="3"/>
        <v/>
      </c>
      <c r="T74" s="9" t="s">
        <v>2</v>
      </c>
      <c r="U74" s="137" t="s">
        <v>4</v>
      </c>
      <c r="V74" s="138" t="s">
        <v>575</v>
      </c>
      <c r="W74" s="9" t="s">
        <v>41</v>
      </c>
      <c r="X74" s="9" t="s">
        <v>345</v>
      </c>
      <c r="Y74" s="149" t="s">
        <v>35</v>
      </c>
      <c r="Z74" s="147">
        <f t="shared" si="4"/>
        <v>5.08</v>
      </c>
      <c r="AA74" s="151" t="str" cm="1">
        <f t="array" ref="AA74">_xlfn.IFS( Z74&gt;=9, "A+", Z74&gt;=8.5, "A", Z74&gt;=8, "B+", Z74&gt;=7, "B", Z74&gt;=6.5, "C+", Z74&gt;=5.5, "C", Z74&gt;=5, "D+", Z74&gt;=4, "D", Z74&lt;4, "F" )</f>
        <v>D+</v>
      </c>
    </row>
    <row r="75" spans="1:27" ht="20.25" customHeight="1" x14ac:dyDescent="0.3">
      <c r="A75" s="1">
        <v>649</v>
      </c>
      <c r="B75" s="6">
        <f>IF(LEN(C75=0),SUBTOTAL(3,$C$10:C75),"")</f>
        <v>66</v>
      </c>
      <c r="C75" s="54" t="s">
        <v>99</v>
      </c>
      <c r="D75" s="55" t="s">
        <v>569</v>
      </c>
      <c r="E75" s="56" t="s">
        <v>516</v>
      </c>
      <c r="F75" s="54" t="s">
        <v>362</v>
      </c>
      <c r="G75" s="57">
        <v>10</v>
      </c>
      <c r="H75" s="57">
        <v>8</v>
      </c>
      <c r="I75" s="64" t="s">
        <v>0</v>
      </c>
      <c r="J75" s="57">
        <v>8.5</v>
      </c>
      <c r="K75" s="10"/>
      <c r="L75" s="68">
        <v>5.8</v>
      </c>
      <c r="M75" s="69" t="str">
        <f>IFERROR(LOOKUP(INT(L75),Sheet1!$A$2:$A$12,Sheet1!$B$2:$B$12)&amp;" phẩy "&amp;(LOOKUP(ROUND(L75-INT(L75),1)*10,Sheet1!$A$2:$A$12,Sheet1!$C$2:$C$12)),"")</f>
        <v>Năm phẩy tám</v>
      </c>
      <c r="N75" s="41"/>
      <c r="O75" s="20" t="s">
        <v>0</v>
      </c>
      <c r="P75" s="7">
        <f t="shared" si="0"/>
        <v>3.5</v>
      </c>
      <c r="Q75" s="8" t="str">
        <f t="shared" si="1"/>
        <v/>
      </c>
      <c r="R75" s="39" t="str">
        <f t="shared" si="6"/>
        <v>09</v>
      </c>
      <c r="S75" s="8" t="str">
        <f t="shared" si="3"/>
        <v/>
      </c>
      <c r="T75" s="9" t="s">
        <v>2</v>
      </c>
      <c r="U75" s="137" t="s">
        <v>4</v>
      </c>
      <c r="V75" s="138" t="s">
        <v>575</v>
      </c>
      <c r="W75" s="9" t="s">
        <v>41</v>
      </c>
      <c r="X75" s="9" t="s">
        <v>345</v>
      </c>
      <c r="Y75" s="149" t="s">
        <v>35</v>
      </c>
      <c r="Z75" s="147">
        <f t="shared" ref="Z75:Z82" si="7">G75*0.1+H75*0.1+J75*0.2+L75*0.6</f>
        <v>6.98</v>
      </c>
      <c r="AA75" s="151" t="s">
        <v>653</v>
      </c>
    </row>
    <row r="76" spans="1:27" ht="20.25" customHeight="1" x14ac:dyDescent="0.3">
      <c r="A76" s="1">
        <v>650</v>
      </c>
      <c r="B76" s="6">
        <f>IF(LEN(C76=0),SUBTOTAL(3,$C$10:C76),"")</f>
        <v>67</v>
      </c>
      <c r="C76" s="54" t="s">
        <v>132</v>
      </c>
      <c r="D76" s="55" t="s">
        <v>570</v>
      </c>
      <c r="E76" s="56" t="s">
        <v>505</v>
      </c>
      <c r="F76" s="54" t="s">
        <v>362</v>
      </c>
      <c r="G76" s="57">
        <v>7</v>
      </c>
      <c r="H76" s="57">
        <v>3</v>
      </c>
      <c r="I76" s="64" t="s">
        <v>0</v>
      </c>
      <c r="J76" s="57">
        <v>4</v>
      </c>
      <c r="K76" s="10"/>
      <c r="L76" s="68">
        <v>5.5</v>
      </c>
      <c r="M76" s="69" t="str">
        <f>IFERROR(LOOKUP(INT(L76),Sheet1!$A$2:$A$12,Sheet1!$B$2:$B$12)&amp;" phẩy "&amp;(LOOKUP(ROUND(L76-INT(L76),1)*10,Sheet1!$A$2:$A$12,Sheet1!$C$2:$C$12)),"")</f>
        <v>Năm phẩy năm</v>
      </c>
      <c r="N76" s="41"/>
      <c r="O76" s="20" t="s">
        <v>0</v>
      </c>
      <c r="P76" s="7">
        <f t="shared" si="0"/>
        <v>1.8</v>
      </c>
      <c r="Q76" s="8" t="str">
        <f t="shared" si="1"/>
        <v/>
      </c>
      <c r="R76" s="39" t="str">
        <f t="shared" si="6"/>
        <v>09</v>
      </c>
      <c r="S76" s="8" t="str">
        <f t="shared" si="3"/>
        <v/>
      </c>
      <c r="T76" s="9" t="s">
        <v>2</v>
      </c>
      <c r="U76" s="137" t="s">
        <v>4</v>
      </c>
      <c r="V76" s="138" t="s">
        <v>575</v>
      </c>
      <c r="W76" s="9" t="s">
        <v>41</v>
      </c>
      <c r="X76" s="9" t="s">
        <v>345</v>
      </c>
      <c r="Y76" s="149" t="s">
        <v>35</v>
      </c>
      <c r="Z76" s="147">
        <f t="shared" si="7"/>
        <v>5.0999999999999996</v>
      </c>
      <c r="AA76" s="151" t="str" cm="1">
        <f t="array" ref="AA76">_xlfn.IFS( Z76&gt;=9, "A+", Z76&gt;=8.5, "A", Z76&gt;=8, "B+", Z76&gt;=7, "B", Z76&gt;=6.5, "C+", Z76&gt;=5.5, "C", Z76&gt;=5, "D+", Z76&gt;=4, "D", Z76&lt;4, "F" )</f>
        <v>D+</v>
      </c>
    </row>
    <row r="77" spans="1:27" ht="20.25" customHeight="1" x14ac:dyDescent="0.3">
      <c r="A77" s="1">
        <v>651</v>
      </c>
      <c r="B77" s="6">
        <f>IF(LEN(C77=0),SUBTOTAL(3,$C$10:C77),"")</f>
        <v>68</v>
      </c>
      <c r="C77" s="54" t="s">
        <v>184</v>
      </c>
      <c r="D77" s="55" t="s">
        <v>513</v>
      </c>
      <c r="E77" s="56" t="s">
        <v>472</v>
      </c>
      <c r="F77" s="54" t="s">
        <v>366</v>
      </c>
      <c r="G77" s="57">
        <v>10</v>
      </c>
      <c r="H77" s="57">
        <v>8</v>
      </c>
      <c r="I77" s="64" t="s">
        <v>0</v>
      </c>
      <c r="J77" s="57">
        <v>7</v>
      </c>
      <c r="K77" s="10"/>
      <c r="L77" s="68">
        <v>7.5</v>
      </c>
      <c r="M77" s="69" t="str">
        <f>IFERROR(LOOKUP(INT(L77),Sheet1!$A$2:$A$12,Sheet1!$B$2:$B$12)&amp;" phẩy "&amp;(LOOKUP(ROUND(L77-INT(L77),1)*10,Sheet1!$A$2:$A$12,Sheet1!$C$2:$C$12)),"")</f>
        <v>Bảy phẩy năm</v>
      </c>
      <c r="N77" s="41"/>
      <c r="O77" s="20" t="s">
        <v>0</v>
      </c>
      <c r="P77" s="7">
        <f t="shared" si="0"/>
        <v>3.2</v>
      </c>
      <c r="Q77" s="8" t="str">
        <f t="shared" si="1"/>
        <v/>
      </c>
      <c r="R77" s="39" t="str">
        <f t="shared" si="6"/>
        <v>09</v>
      </c>
      <c r="S77" s="8" t="str">
        <f t="shared" si="3"/>
        <v/>
      </c>
      <c r="T77" s="9" t="s">
        <v>2</v>
      </c>
      <c r="U77" s="137" t="s">
        <v>4</v>
      </c>
      <c r="V77" s="138" t="s">
        <v>575</v>
      </c>
      <c r="W77" s="9" t="s">
        <v>41</v>
      </c>
      <c r="X77" s="9" t="s">
        <v>345</v>
      </c>
      <c r="Y77" s="149" t="s">
        <v>35</v>
      </c>
      <c r="Z77" s="147">
        <f t="shared" si="7"/>
        <v>7.7</v>
      </c>
      <c r="AA77" s="151" t="str" cm="1">
        <f t="array" ref="AA77">_xlfn.IFS( Z77&gt;=9, "A+", Z77&gt;=8.5, "A", Z77&gt;=8, "B+", Z77&gt;=7, "B", Z77&gt;=6.5, "C+", Z77&gt;=5.5, "C", Z77&gt;=5, "D+", Z77&gt;=4, "D", Z77&lt;4, "F" )</f>
        <v>B</v>
      </c>
    </row>
    <row r="78" spans="1:27" ht="20.25" customHeight="1" x14ac:dyDescent="0.3">
      <c r="A78" s="1">
        <v>652</v>
      </c>
      <c r="B78" s="6">
        <f>IF(LEN(C78=0),SUBTOTAL(3,$C$10:C78),"")</f>
        <v>69</v>
      </c>
      <c r="C78" s="54" t="s">
        <v>232</v>
      </c>
      <c r="D78" s="55" t="s">
        <v>495</v>
      </c>
      <c r="E78" s="56" t="s">
        <v>498</v>
      </c>
      <c r="F78" s="54" t="s">
        <v>354</v>
      </c>
      <c r="G78" s="57">
        <v>9</v>
      </c>
      <c r="H78" s="57">
        <v>8.5</v>
      </c>
      <c r="I78" s="64" t="s">
        <v>0</v>
      </c>
      <c r="J78" s="57">
        <v>8</v>
      </c>
      <c r="K78" s="10"/>
      <c r="L78" s="68">
        <v>7.5</v>
      </c>
      <c r="M78" s="69" t="str">
        <f>IFERROR(LOOKUP(INT(L78),Sheet1!$A$2:$A$12,Sheet1!$B$2:$B$12)&amp;" phẩy "&amp;(LOOKUP(ROUND(L78-INT(L78),1)*10,Sheet1!$A$2:$A$12,Sheet1!$C$2:$C$12)),"")</f>
        <v>Bảy phẩy năm</v>
      </c>
      <c r="N78" s="41"/>
      <c r="O78" s="20" t="s">
        <v>0</v>
      </c>
      <c r="P78" s="7">
        <f t="shared" si="0"/>
        <v>3.4</v>
      </c>
      <c r="Q78" s="8" t="str">
        <f t="shared" si="1"/>
        <v/>
      </c>
      <c r="R78" s="39" t="str">
        <f t="shared" si="6"/>
        <v>09</v>
      </c>
      <c r="S78" s="8" t="str">
        <f t="shared" si="3"/>
        <v/>
      </c>
      <c r="T78" s="9" t="s">
        <v>2</v>
      </c>
      <c r="U78" s="137" t="s">
        <v>4</v>
      </c>
      <c r="V78" s="138" t="s">
        <v>575</v>
      </c>
      <c r="W78" s="9" t="s">
        <v>41</v>
      </c>
      <c r="X78" s="9" t="s">
        <v>345</v>
      </c>
      <c r="Y78" s="149" t="s">
        <v>35</v>
      </c>
      <c r="Z78" s="147">
        <f t="shared" si="7"/>
        <v>7.85</v>
      </c>
      <c r="AA78" s="151" t="str" cm="1">
        <f t="array" ref="AA78">_xlfn.IFS( Z78&gt;=9, "A+", Z78&gt;=8.5, "A", Z78&gt;=8, "B+", Z78&gt;=7, "B", Z78&gt;=6.5, "C+", Z78&gt;=5.5, "C", Z78&gt;=5, "D+", Z78&gt;=4, "D", Z78&lt;4, "F" )</f>
        <v>B</v>
      </c>
    </row>
    <row r="79" spans="1:27" ht="20.25" customHeight="1" x14ac:dyDescent="0.3">
      <c r="A79" s="1">
        <v>653</v>
      </c>
      <c r="B79" s="6">
        <f>IF(LEN(C79=0),SUBTOTAL(3,$C$10:C79),"")</f>
        <v>70</v>
      </c>
      <c r="C79" s="54" t="s">
        <v>266</v>
      </c>
      <c r="D79" s="55" t="s">
        <v>571</v>
      </c>
      <c r="E79" s="56" t="s">
        <v>572</v>
      </c>
      <c r="F79" s="54" t="s">
        <v>364</v>
      </c>
      <c r="G79" s="57">
        <v>8</v>
      </c>
      <c r="H79" s="57">
        <v>8.5</v>
      </c>
      <c r="I79" s="64" t="s">
        <v>0</v>
      </c>
      <c r="J79" s="57">
        <v>8</v>
      </c>
      <c r="K79" s="10"/>
      <c r="L79" s="68">
        <v>6.8</v>
      </c>
      <c r="M79" s="69" t="str">
        <f>IFERROR(LOOKUP(INT(L79),Sheet1!$A$2:$A$12,Sheet1!$B$2:$B$12)&amp;" phẩy "&amp;(LOOKUP(ROUND(L79-INT(L79),1)*10,Sheet1!$A$2:$A$12,Sheet1!$C$2:$C$12)),"")</f>
        <v>Sáu phẩy tám</v>
      </c>
      <c r="N79" s="41"/>
      <c r="O79" s="20" t="s">
        <v>0</v>
      </c>
      <c r="P79" s="7">
        <f t="shared" si="0"/>
        <v>3.3</v>
      </c>
      <c r="Q79" s="8" t="str">
        <f t="shared" si="1"/>
        <v/>
      </c>
      <c r="R79" s="39" t="str">
        <f t="shared" si="6"/>
        <v>09</v>
      </c>
      <c r="S79" s="8" t="str">
        <f t="shared" si="3"/>
        <v/>
      </c>
      <c r="T79" s="9" t="s">
        <v>2</v>
      </c>
      <c r="U79" s="137" t="s">
        <v>4</v>
      </c>
      <c r="V79" s="138" t="s">
        <v>575</v>
      </c>
      <c r="W79" s="9" t="s">
        <v>41</v>
      </c>
      <c r="X79" s="9" t="s">
        <v>345</v>
      </c>
      <c r="Y79" s="149" t="s">
        <v>35</v>
      </c>
      <c r="Z79" s="147">
        <f t="shared" si="7"/>
        <v>7.33</v>
      </c>
      <c r="AA79" s="151" t="str" cm="1">
        <f t="array" ref="AA79">_xlfn.IFS( Z79&gt;=9, "A+", Z79&gt;=8.5, "A", Z79&gt;=8, "B+", Z79&gt;=7, "B", Z79&gt;=6.5, "C+", Z79&gt;=5.5, "C", Z79&gt;=5, "D+", Z79&gt;=4, "D", Z79&lt;4, "F" )</f>
        <v>B</v>
      </c>
    </row>
    <row r="80" spans="1:27" ht="20.25" customHeight="1" x14ac:dyDescent="0.3">
      <c r="A80" s="1">
        <v>654</v>
      </c>
      <c r="B80" s="6">
        <f>IF(LEN(C80=0),SUBTOTAL(3,$C$10:C80),"")</f>
        <v>71</v>
      </c>
      <c r="C80" s="54" t="s">
        <v>148</v>
      </c>
      <c r="D80" s="55" t="s">
        <v>573</v>
      </c>
      <c r="E80" s="56" t="s">
        <v>477</v>
      </c>
      <c r="F80" s="54" t="s">
        <v>364</v>
      </c>
      <c r="G80" s="57">
        <v>10</v>
      </c>
      <c r="H80" s="57">
        <v>8.5</v>
      </c>
      <c r="I80" s="64" t="s">
        <v>0</v>
      </c>
      <c r="J80" s="57">
        <v>8</v>
      </c>
      <c r="K80" s="10"/>
      <c r="L80" s="68">
        <v>6.8</v>
      </c>
      <c r="M80" s="69" t="str">
        <f>IFERROR(LOOKUP(INT(L80),Sheet1!$A$2:$A$12,Sheet1!$B$2:$B$12)&amp;" phẩy "&amp;(LOOKUP(ROUND(L80-INT(L80),1)*10,Sheet1!$A$2:$A$12,Sheet1!$C$2:$C$12)),"")</f>
        <v>Sáu phẩy tám</v>
      </c>
      <c r="N80" s="41"/>
      <c r="O80" s="20" t="s">
        <v>0</v>
      </c>
      <c r="P80" s="7">
        <f t="shared" si="0"/>
        <v>3.5</v>
      </c>
      <c r="Q80" s="8" t="str">
        <f t="shared" si="1"/>
        <v/>
      </c>
      <c r="R80" s="39" t="str">
        <f t="shared" si="6"/>
        <v>09</v>
      </c>
      <c r="S80" s="8" t="str">
        <f t="shared" si="3"/>
        <v/>
      </c>
      <c r="T80" s="9" t="s">
        <v>2</v>
      </c>
      <c r="U80" s="137" t="s">
        <v>4</v>
      </c>
      <c r="V80" s="138" t="s">
        <v>575</v>
      </c>
      <c r="W80" s="9" t="s">
        <v>41</v>
      </c>
      <c r="X80" s="9" t="s">
        <v>345</v>
      </c>
      <c r="Y80" s="149" t="s">
        <v>35</v>
      </c>
      <c r="Z80" s="147">
        <f t="shared" si="7"/>
        <v>7.53</v>
      </c>
      <c r="AA80" s="151" t="str" cm="1">
        <f t="array" ref="AA80">_xlfn.IFS( Z80&gt;=9, "A+", Z80&gt;=8.5, "A", Z80&gt;=8, "B+", Z80&gt;=7, "B", Z80&gt;=6.5, "C+", Z80&gt;=5.5, "C", Z80&gt;=5, "D+", Z80&gt;=4, "D", Z80&lt;4, "F" )</f>
        <v>B</v>
      </c>
    </row>
    <row r="81" spans="1:39" ht="20.25" customHeight="1" x14ac:dyDescent="0.3">
      <c r="A81" s="1">
        <v>655</v>
      </c>
      <c r="B81" s="6">
        <f>IF(LEN(C81=0),SUBTOTAL(3,$C$10:C81),"")</f>
        <v>72</v>
      </c>
      <c r="C81" s="54" t="s">
        <v>133</v>
      </c>
      <c r="D81" s="55" t="s">
        <v>574</v>
      </c>
      <c r="E81" s="56" t="s">
        <v>490</v>
      </c>
      <c r="F81" s="54" t="s">
        <v>366</v>
      </c>
      <c r="G81" s="57">
        <v>9</v>
      </c>
      <c r="H81" s="57">
        <v>8.5</v>
      </c>
      <c r="I81" s="64" t="s">
        <v>0</v>
      </c>
      <c r="J81" s="57">
        <v>9</v>
      </c>
      <c r="K81" s="10"/>
      <c r="L81" s="68">
        <v>7.7</v>
      </c>
      <c r="M81" s="69" t="str">
        <f>IFERROR(LOOKUP(INT(L81),Sheet1!$A$2:$A$12,Sheet1!$B$2:$B$12)&amp;" phẩy "&amp;(LOOKUP(ROUND(L81-INT(L81),1)*10,Sheet1!$A$2:$A$12,Sheet1!$C$2:$C$12)),"")</f>
        <v>Bảy phẩy bảy</v>
      </c>
      <c r="N81" s="41"/>
      <c r="O81" s="20" t="s">
        <v>0</v>
      </c>
      <c r="P81" s="7">
        <f t="shared" si="0"/>
        <v>3.6</v>
      </c>
      <c r="Q81" s="8" t="str">
        <f t="shared" si="1"/>
        <v/>
      </c>
      <c r="R81" s="39" t="str">
        <f t="shared" si="6"/>
        <v>09</v>
      </c>
      <c r="S81" s="8" t="str">
        <f t="shared" si="3"/>
        <v/>
      </c>
      <c r="T81" s="9" t="s">
        <v>2</v>
      </c>
      <c r="U81" s="137" t="s">
        <v>4</v>
      </c>
      <c r="V81" s="138" t="s">
        <v>575</v>
      </c>
      <c r="W81" s="9" t="s">
        <v>41</v>
      </c>
      <c r="X81" s="9" t="s">
        <v>345</v>
      </c>
      <c r="Y81" s="149" t="s">
        <v>35</v>
      </c>
      <c r="Z81" s="147">
        <f t="shared" si="7"/>
        <v>8.17</v>
      </c>
      <c r="AA81" s="151" t="str" cm="1">
        <f t="array" ref="AA81">_xlfn.IFS( Z81&gt;=9, "A+", Z81&gt;=8.5, "A", Z81&gt;=8, "B+", Z81&gt;=7, "B", Z81&gt;=6.5, "C+", Z81&gt;=5.5, "C", Z81&gt;=5, "D+", Z81&gt;=4, "D", Z81&lt;4, "F" )</f>
        <v>B+</v>
      </c>
    </row>
    <row r="82" spans="1:39" ht="20.25" customHeight="1" x14ac:dyDescent="0.3">
      <c r="A82" s="1">
        <v>656</v>
      </c>
      <c r="B82" s="6">
        <f>IF(LEN(C82=0),SUBTOTAL(3,$C$10:C82),"")</f>
        <v>73</v>
      </c>
      <c r="C82" s="54" t="s">
        <v>259</v>
      </c>
      <c r="D82" s="55" t="s">
        <v>444</v>
      </c>
      <c r="E82" s="56" t="s">
        <v>491</v>
      </c>
      <c r="F82" s="54" t="s">
        <v>385</v>
      </c>
      <c r="G82" s="57">
        <v>9</v>
      </c>
      <c r="H82" s="57">
        <v>8.5</v>
      </c>
      <c r="I82" s="64" t="s">
        <v>0</v>
      </c>
      <c r="J82" s="57">
        <v>8</v>
      </c>
      <c r="K82" s="10"/>
      <c r="L82" s="68">
        <v>7.7</v>
      </c>
      <c r="M82" s="69" t="str">
        <f>IFERROR(LOOKUP(INT(L82),Sheet1!$A$2:$A$12,Sheet1!$B$2:$B$12)&amp;" phẩy "&amp;(LOOKUP(ROUND(L82-INT(L82),1)*10,Sheet1!$A$2:$A$12,Sheet1!$C$2:$C$12)),"")</f>
        <v>Bảy phẩy bảy</v>
      </c>
      <c r="N82" s="41"/>
      <c r="O82" s="20" t="s">
        <v>0</v>
      </c>
      <c r="P82" s="7">
        <f t="shared" si="0"/>
        <v>3.4</v>
      </c>
      <c r="Q82" s="8" t="str">
        <f t="shared" si="1"/>
        <v/>
      </c>
      <c r="R82" s="39" t="str">
        <f t="shared" si="6"/>
        <v>09</v>
      </c>
      <c r="S82" s="8" t="str">
        <f t="shared" si="3"/>
        <v/>
      </c>
      <c r="T82" s="9" t="s">
        <v>2</v>
      </c>
      <c r="U82" s="137" t="s">
        <v>4</v>
      </c>
      <c r="V82" s="138" t="s">
        <v>575</v>
      </c>
      <c r="W82" s="9" t="s">
        <v>41</v>
      </c>
      <c r="X82" s="9" t="s">
        <v>345</v>
      </c>
      <c r="Y82" s="149" t="s">
        <v>35</v>
      </c>
      <c r="Z82" s="147">
        <f t="shared" si="7"/>
        <v>7.9700000000000006</v>
      </c>
      <c r="AA82" s="151" t="s">
        <v>652</v>
      </c>
    </row>
    <row r="83" spans="1:39" ht="20.25" hidden="1" customHeight="1" x14ac:dyDescent="0.3">
      <c r="A83" s="1">
        <v>657</v>
      </c>
      <c r="B83" s="6">
        <f>IF(LEN(C83=0),SUBTOTAL(3,$C$10:C83),"")</f>
        <v>73</v>
      </c>
      <c r="C83" s="54" t="s">
        <v>118</v>
      </c>
      <c r="D83" s="55" t="s">
        <v>352</v>
      </c>
      <c r="E83" s="56" t="s">
        <v>353</v>
      </c>
      <c r="F83" s="54" t="s">
        <v>354</v>
      </c>
      <c r="G83" s="57">
        <v>10</v>
      </c>
      <c r="H83" s="57">
        <v>8.5</v>
      </c>
      <c r="I83" s="64" t="s">
        <v>0</v>
      </c>
      <c r="J83" s="57">
        <v>8.5</v>
      </c>
      <c r="K83" s="10"/>
      <c r="L83" s="68">
        <v>8.1999999999999993</v>
      </c>
      <c r="M83" s="69" t="str">
        <f>IFERROR(LOOKUP(INT(L83),Sheet1!$A$2:$A$12,Sheet1!$B$2:$B$12)&amp;" phẩy "&amp;(LOOKUP(ROUND(L83-INT(L83),1)*10,Sheet1!$A$2:$A$12,Sheet1!$C$2:$C$12)),"")</f>
        <v>Tám phẩy hai</v>
      </c>
      <c r="N83" s="41"/>
      <c r="O83" s="20" t="s">
        <v>0</v>
      </c>
      <c r="P83" s="7">
        <f t="shared" si="0"/>
        <v>3.6</v>
      </c>
      <c r="Q83" s="8" t="str">
        <f t="shared" si="1"/>
        <v/>
      </c>
      <c r="R83" s="39" t="str">
        <f t="shared" si="6"/>
        <v>10</v>
      </c>
      <c r="S83" s="8" t="str">
        <f t="shared" si="3"/>
        <v/>
      </c>
      <c r="T83" s="9" t="s">
        <v>36</v>
      </c>
      <c r="U83" s="27" t="s">
        <v>4</v>
      </c>
      <c r="V83" s="31" t="s">
        <v>576</v>
      </c>
      <c r="W83" s="9" t="s">
        <v>40</v>
      </c>
      <c r="X83" s="9" t="s">
        <v>345</v>
      </c>
      <c r="Y83" s="9" t="s">
        <v>35</v>
      </c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</row>
    <row r="84" spans="1:39" ht="20.25" hidden="1" customHeight="1" x14ac:dyDescent="0.3">
      <c r="A84" s="1">
        <v>658</v>
      </c>
      <c r="B84" s="6">
        <f>IF(LEN(C84=0),SUBTOTAL(3,$C$10:C84),"")</f>
        <v>73</v>
      </c>
      <c r="C84" s="54" t="s">
        <v>150</v>
      </c>
      <c r="D84" s="55" t="s">
        <v>355</v>
      </c>
      <c r="E84" s="56" t="s">
        <v>353</v>
      </c>
      <c r="F84" s="54" t="s">
        <v>356</v>
      </c>
      <c r="G84" s="57">
        <v>10</v>
      </c>
      <c r="H84" s="57">
        <v>8.5</v>
      </c>
      <c r="I84" s="64" t="s">
        <v>0</v>
      </c>
      <c r="J84" s="57">
        <v>8.5</v>
      </c>
      <c r="K84" s="10"/>
      <c r="L84" s="68">
        <v>5</v>
      </c>
      <c r="M84" s="69" t="str">
        <f>IFERROR(LOOKUP(INT(L84),Sheet1!$A$2:$A$12,Sheet1!$B$2:$B$12)&amp;" phẩy "&amp;(LOOKUP(ROUND(L84-INT(L84),1)*10,Sheet1!$A$2:$A$12,Sheet1!$C$2:$C$12)),"")</f>
        <v>Năm phẩy không</v>
      </c>
      <c r="N84" s="41"/>
      <c r="O84" s="20" t="s">
        <v>0</v>
      </c>
      <c r="P84" s="7">
        <f t="shared" si="0"/>
        <v>3.6</v>
      </c>
      <c r="Q84" s="8" t="str">
        <f t="shared" si="1"/>
        <v/>
      </c>
      <c r="R84" s="39" t="str">
        <f t="shared" si="6"/>
        <v>10</v>
      </c>
      <c r="S84" s="8" t="str">
        <f t="shared" si="3"/>
        <v/>
      </c>
      <c r="T84" s="9" t="s">
        <v>36</v>
      </c>
      <c r="U84" s="27" t="s">
        <v>4</v>
      </c>
      <c r="V84" s="31" t="s">
        <v>576</v>
      </c>
      <c r="W84" s="9" t="s">
        <v>40</v>
      </c>
      <c r="X84" s="9" t="s">
        <v>345</v>
      </c>
      <c r="Y84" s="9" t="s">
        <v>35</v>
      </c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</row>
    <row r="85" spans="1:39" ht="20.25" hidden="1" customHeight="1" x14ac:dyDescent="0.3">
      <c r="A85" s="1">
        <v>659</v>
      </c>
      <c r="B85" s="6">
        <f>IF(LEN(C85=0),SUBTOTAL(3,$C$10:C85),"")</f>
        <v>73</v>
      </c>
      <c r="C85" s="54" t="s">
        <v>233</v>
      </c>
      <c r="D85" s="55" t="s">
        <v>357</v>
      </c>
      <c r="E85" s="56" t="s">
        <v>358</v>
      </c>
      <c r="F85" s="54" t="s">
        <v>359</v>
      </c>
      <c r="G85" s="57">
        <v>9</v>
      </c>
      <c r="H85" s="57">
        <v>8</v>
      </c>
      <c r="I85" s="64" t="s">
        <v>0</v>
      </c>
      <c r="J85" s="57">
        <v>7.5</v>
      </c>
      <c r="K85" s="10"/>
      <c r="L85" s="68">
        <v>5.8</v>
      </c>
      <c r="M85" s="69" t="str">
        <f>IFERROR(LOOKUP(INT(L85),Sheet1!$A$2:$A$12,Sheet1!$B$2:$B$12)&amp;" phẩy "&amp;(LOOKUP(ROUND(L85-INT(L85),1)*10,Sheet1!$A$2:$A$12,Sheet1!$C$2:$C$12)),"")</f>
        <v>Năm phẩy tám</v>
      </c>
      <c r="N85" s="41"/>
      <c r="O85" s="20" t="s">
        <v>0</v>
      </c>
      <c r="P85" s="7">
        <f t="shared" si="0"/>
        <v>3.2</v>
      </c>
      <c r="Q85" s="8" t="str">
        <f t="shared" si="1"/>
        <v/>
      </c>
      <c r="R85" s="39" t="str">
        <f t="shared" si="6"/>
        <v>10</v>
      </c>
      <c r="S85" s="8" t="str">
        <f t="shared" si="3"/>
        <v/>
      </c>
      <c r="T85" s="9" t="s">
        <v>36</v>
      </c>
      <c r="U85" s="27" t="s">
        <v>4</v>
      </c>
      <c r="V85" s="31" t="s">
        <v>576</v>
      </c>
      <c r="W85" s="9" t="s">
        <v>40</v>
      </c>
      <c r="X85" s="9" t="s">
        <v>345</v>
      </c>
      <c r="Y85" s="9" t="s">
        <v>35</v>
      </c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</row>
    <row r="86" spans="1:39" ht="20.25" hidden="1" customHeight="1" x14ac:dyDescent="0.3">
      <c r="A86" s="1">
        <v>660</v>
      </c>
      <c r="B86" s="6">
        <f>IF(LEN(C86=0),SUBTOTAL(3,$C$10:C86),"")</f>
        <v>73</v>
      </c>
      <c r="C86" s="54" t="s">
        <v>153</v>
      </c>
      <c r="D86" s="55" t="s">
        <v>360</v>
      </c>
      <c r="E86" s="56" t="s">
        <v>361</v>
      </c>
      <c r="F86" s="54" t="s">
        <v>362</v>
      </c>
      <c r="G86" s="57">
        <v>10</v>
      </c>
      <c r="H86" s="57">
        <v>8.5</v>
      </c>
      <c r="I86" s="64" t="s">
        <v>0</v>
      </c>
      <c r="J86" s="57">
        <v>7.5</v>
      </c>
      <c r="K86" s="10"/>
      <c r="L86" s="68">
        <v>7.2</v>
      </c>
      <c r="M86" s="69" t="str">
        <f>IFERROR(LOOKUP(INT(L86),Sheet1!$A$2:$A$12,Sheet1!$B$2:$B$12)&amp;" phẩy "&amp;(LOOKUP(ROUND(L86-INT(L86),1)*10,Sheet1!$A$2:$A$12,Sheet1!$C$2:$C$12)),"")</f>
        <v>Bảy phẩy hai</v>
      </c>
      <c r="N86" s="41"/>
      <c r="O86" s="20" t="s">
        <v>0</v>
      </c>
      <c r="P86" s="7">
        <f t="shared" si="0"/>
        <v>3.4</v>
      </c>
      <c r="Q86" s="8" t="str">
        <f t="shared" si="1"/>
        <v/>
      </c>
      <c r="R86" s="39" t="str">
        <f t="shared" si="6"/>
        <v>10</v>
      </c>
      <c r="S86" s="8" t="str">
        <f t="shared" si="3"/>
        <v/>
      </c>
      <c r="T86" s="9" t="s">
        <v>36</v>
      </c>
      <c r="U86" s="27" t="s">
        <v>4</v>
      </c>
      <c r="V86" s="31" t="s">
        <v>576</v>
      </c>
      <c r="W86" s="9" t="s">
        <v>40</v>
      </c>
      <c r="X86" s="9" t="s">
        <v>345</v>
      </c>
      <c r="Y86" s="9" t="s">
        <v>35</v>
      </c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</row>
    <row r="87" spans="1:39" ht="20.25" hidden="1" customHeight="1" x14ac:dyDescent="0.3">
      <c r="A87" s="1">
        <v>661</v>
      </c>
      <c r="B87" s="6">
        <f>IF(LEN(C87=0),SUBTOTAL(3,$C$10:C87),"")</f>
        <v>73</v>
      </c>
      <c r="C87" s="54" t="s">
        <v>134</v>
      </c>
      <c r="D87" s="55" t="s">
        <v>363</v>
      </c>
      <c r="E87" s="56" t="s">
        <v>361</v>
      </c>
      <c r="F87" s="54" t="s">
        <v>364</v>
      </c>
      <c r="G87" s="57">
        <v>10</v>
      </c>
      <c r="H87" s="57">
        <v>8</v>
      </c>
      <c r="I87" s="64" t="s">
        <v>0</v>
      </c>
      <c r="J87" s="57">
        <v>8.5</v>
      </c>
      <c r="K87" s="10"/>
      <c r="L87" s="68">
        <v>8.5</v>
      </c>
      <c r="M87" s="69" t="str">
        <f>IFERROR(LOOKUP(INT(L87),Sheet1!$A$2:$A$12,Sheet1!$B$2:$B$12)&amp;" phẩy "&amp;(LOOKUP(ROUND(L87-INT(L87),1)*10,Sheet1!$A$2:$A$12,Sheet1!$C$2:$C$12)),"")</f>
        <v>Tám phẩy năm</v>
      </c>
      <c r="N87" s="41"/>
      <c r="O87" s="20" t="s">
        <v>0</v>
      </c>
      <c r="P87" s="7">
        <f t="shared" si="0"/>
        <v>3.5</v>
      </c>
      <c r="Q87" s="8" t="str">
        <f t="shared" si="1"/>
        <v/>
      </c>
      <c r="R87" s="39" t="str">
        <f t="shared" si="6"/>
        <v>10</v>
      </c>
      <c r="S87" s="8" t="str">
        <f t="shared" si="3"/>
        <v/>
      </c>
      <c r="T87" s="9" t="s">
        <v>36</v>
      </c>
      <c r="U87" s="27" t="s">
        <v>4</v>
      </c>
      <c r="V87" s="31" t="s">
        <v>576</v>
      </c>
      <c r="W87" s="9" t="s">
        <v>40</v>
      </c>
      <c r="X87" s="9" t="s">
        <v>345</v>
      </c>
      <c r="Y87" s="9" t="s">
        <v>35</v>
      </c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</row>
    <row r="88" spans="1:39" ht="20.25" hidden="1" customHeight="1" x14ac:dyDescent="0.3">
      <c r="A88" s="1">
        <v>662</v>
      </c>
      <c r="B88" s="6">
        <f>IF(LEN(C88=0),SUBTOTAL(3,$C$10:C88),"")</f>
        <v>73</v>
      </c>
      <c r="C88" s="54" t="s">
        <v>182</v>
      </c>
      <c r="D88" s="55" t="s">
        <v>365</v>
      </c>
      <c r="E88" s="56" t="s">
        <v>361</v>
      </c>
      <c r="F88" s="54" t="s">
        <v>366</v>
      </c>
      <c r="G88" s="57">
        <v>10</v>
      </c>
      <c r="H88" s="57">
        <v>7.5</v>
      </c>
      <c r="I88" s="64" t="s">
        <v>0</v>
      </c>
      <c r="J88" s="57">
        <v>7</v>
      </c>
      <c r="K88" s="10"/>
      <c r="L88" s="68">
        <v>6.7</v>
      </c>
      <c r="M88" s="69" t="str">
        <f>IFERROR(LOOKUP(INT(L88),Sheet1!$A$2:$A$12,Sheet1!$B$2:$B$12)&amp;" phẩy "&amp;(LOOKUP(ROUND(L88-INT(L88),1)*10,Sheet1!$A$2:$A$12,Sheet1!$C$2:$C$12)),"")</f>
        <v>Sáu phẩy bảy</v>
      </c>
      <c r="N88" s="41"/>
      <c r="O88" s="20" t="s">
        <v>0</v>
      </c>
      <c r="P88" s="7">
        <f t="shared" si="0"/>
        <v>3.2</v>
      </c>
      <c r="Q88" s="8" t="str">
        <f t="shared" si="1"/>
        <v/>
      </c>
      <c r="R88" s="39" t="str">
        <f t="shared" si="6"/>
        <v>10</v>
      </c>
      <c r="S88" s="8" t="str">
        <f t="shared" si="3"/>
        <v/>
      </c>
      <c r="T88" s="9" t="s">
        <v>36</v>
      </c>
      <c r="U88" s="27" t="s">
        <v>4</v>
      </c>
      <c r="V88" s="31" t="s">
        <v>576</v>
      </c>
      <c r="W88" s="9" t="s">
        <v>40</v>
      </c>
      <c r="X88" s="9" t="s">
        <v>345</v>
      </c>
      <c r="Y88" s="9" t="s">
        <v>35</v>
      </c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</row>
    <row r="89" spans="1:39" ht="20.25" hidden="1" customHeight="1" x14ac:dyDescent="0.3">
      <c r="A89" s="1">
        <v>663</v>
      </c>
      <c r="B89" s="6">
        <f>IF(LEN(C89=0),SUBTOTAL(3,$C$10:C89),"")</f>
        <v>73</v>
      </c>
      <c r="C89" s="54" t="s">
        <v>251</v>
      </c>
      <c r="D89" s="55" t="s">
        <v>367</v>
      </c>
      <c r="E89" s="56" t="s">
        <v>368</v>
      </c>
      <c r="F89" s="54" t="s">
        <v>369</v>
      </c>
      <c r="G89" s="57">
        <v>10</v>
      </c>
      <c r="H89" s="57">
        <v>8.5</v>
      </c>
      <c r="I89" s="64" t="s">
        <v>0</v>
      </c>
      <c r="J89" s="57">
        <v>7.5</v>
      </c>
      <c r="K89" s="10"/>
      <c r="L89" s="68">
        <v>7.7</v>
      </c>
      <c r="M89" s="69" t="str">
        <f>IFERROR(LOOKUP(INT(L89),Sheet1!$A$2:$A$12,Sheet1!$B$2:$B$12)&amp;" phẩy "&amp;(LOOKUP(ROUND(L89-INT(L89),1)*10,Sheet1!$A$2:$A$12,Sheet1!$C$2:$C$12)),"")</f>
        <v>Bảy phẩy bảy</v>
      </c>
      <c r="N89" s="41"/>
      <c r="O89" s="20" t="s">
        <v>0</v>
      </c>
      <c r="P89" s="7">
        <f t="shared" si="0"/>
        <v>3.4</v>
      </c>
      <c r="Q89" s="8" t="str">
        <f t="shared" si="1"/>
        <v/>
      </c>
      <c r="R89" s="39" t="str">
        <f t="shared" si="6"/>
        <v>10</v>
      </c>
      <c r="S89" s="8" t="str">
        <f t="shared" si="3"/>
        <v/>
      </c>
      <c r="T89" s="9" t="s">
        <v>36</v>
      </c>
      <c r="U89" s="27" t="s">
        <v>4</v>
      </c>
      <c r="V89" s="31" t="s">
        <v>576</v>
      </c>
      <c r="W89" s="9" t="s">
        <v>40</v>
      </c>
      <c r="X89" s="9" t="s">
        <v>345</v>
      </c>
      <c r="Y89" s="9" t="s">
        <v>35</v>
      </c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</row>
    <row r="90" spans="1:39" ht="20.25" hidden="1" customHeight="1" x14ac:dyDescent="0.3">
      <c r="A90" s="1">
        <v>664</v>
      </c>
      <c r="B90" s="6">
        <f>IF(LEN(C90=0),SUBTOTAL(3,$C$10:C90),"")</f>
        <v>73</v>
      </c>
      <c r="C90" s="54" t="s">
        <v>260</v>
      </c>
      <c r="D90" s="55" t="s">
        <v>370</v>
      </c>
      <c r="E90" s="56" t="s">
        <v>371</v>
      </c>
      <c r="F90" s="54" t="s">
        <v>372</v>
      </c>
      <c r="G90" s="57">
        <v>10</v>
      </c>
      <c r="H90" s="57">
        <v>8</v>
      </c>
      <c r="I90" s="64" t="s">
        <v>0</v>
      </c>
      <c r="J90" s="57">
        <v>8.5</v>
      </c>
      <c r="K90" s="10"/>
      <c r="L90" s="68">
        <v>8.3000000000000007</v>
      </c>
      <c r="M90" s="69" t="str">
        <f>IFERROR(LOOKUP(INT(L90),Sheet1!$A$2:$A$12,Sheet1!$B$2:$B$12)&amp;" phẩy "&amp;(LOOKUP(ROUND(L90-INT(L90),1)*10,Sheet1!$A$2:$A$12,Sheet1!$C$2:$C$12)),"")</f>
        <v>Tám phẩy ba</v>
      </c>
      <c r="N90" s="41"/>
      <c r="O90" s="20" t="s">
        <v>0</v>
      </c>
      <c r="P90" s="7">
        <f t="shared" si="0"/>
        <v>3.5</v>
      </c>
      <c r="Q90" s="8" t="str">
        <f t="shared" si="1"/>
        <v/>
      </c>
      <c r="R90" s="39" t="str">
        <f t="shared" si="6"/>
        <v>10</v>
      </c>
      <c r="S90" s="8" t="str">
        <f t="shared" si="3"/>
        <v/>
      </c>
      <c r="T90" s="9" t="s">
        <v>36</v>
      </c>
      <c r="U90" s="27" t="s">
        <v>4</v>
      </c>
      <c r="V90" s="31" t="s">
        <v>576</v>
      </c>
      <c r="W90" s="9" t="s">
        <v>40</v>
      </c>
      <c r="X90" s="9" t="s">
        <v>345</v>
      </c>
      <c r="Y90" s="9" t="s">
        <v>35</v>
      </c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</row>
    <row r="91" spans="1:39" ht="20.25" hidden="1" customHeight="1" x14ac:dyDescent="0.3">
      <c r="A91" s="1">
        <v>665</v>
      </c>
      <c r="B91" s="6">
        <f>IF(LEN(C91=0),SUBTOTAL(3,$C$10:C91),"")</f>
        <v>73</v>
      </c>
      <c r="C91" s="54" t="s">
        <v>119</v>
      </c>
      <c r="D91" s="55" t="s">
        <v>373</v>
      </c>
      <c r="E91" s="56" t="s">
        <v>374</v>
      </c>
      <c r="F91" s="54" t="s">
        <v>354</v>
      </c>
      <c r="G91" s="57">
        <v>10</v>
      </c>
      <c r="H91" s="57">
        <v>8.5</v>
      </c>
      <c r="I91" s="64" t="s">
        <v>0</v>
      </c>
      <c r="J91" s="57">
        <v>8.5</v>
      </c>
      <c r="K91" s="10"/>
      <c r="L91" s="68">
        <v>7.7</v>
      </c>
      <c r="M91" s="69" t="str">
        <f>IFERROR(LOOKUP(INT(L91),Sheet1!$A$2:$A$12,Sheet1!$B$2:$B$12)&amp;" phẩy "&amp;(LOOKUP(ROUND(L91-INT(L91),1)*10,Sheet1!$A$2:$A$12,Sheet1!$C$2:$C$12)),"")</f>
        <v>Bảy phẩy bảy</v>
      </c>
      <c r="N91" s="41"/>
      <c r="O91" s="20" t="s">
        <v>0</v>
      </c>
      <c r="P91" s="7">
        <f t="shared" si="0"/>
        <v>3.6</v>
      </c>
      <c r="Q91" s="8" t="str">
        <f t="shared" si="1"/>
        <v/>
      </c>
      <c r="R91" s="39" t="str">
        <f t="shared" si="6"/>
        <v>10</v>
      </c>
      <c r="S91" s="8" t="str">
        <f t="shared" si="3"/>
        <v/>
      </c>
      <c r="T91" s="9" t="s">
        <v>36</v>
      </c>
      <c r="U91" s="27" t="s">
        <v>4</v>
      </c>
      <c r="V91" s="31" t="s">
        <v>576</v>
      </c>
      <c r="W91" s="9" t="s">
        <v>40</v>
      </c>
      <c r="X91" s="9" t="s">
        <v>345</v>
      </c>
      <c r="Y91" s="9" t="s">
        <v>35</v>
      </c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</row>
    <row r="92" spans="1:39" ht="20.25" hidden="1" customHeight="1" x14ac:dyDescent="0.3">
      <c r="A92" s="1">
        <v>666</v>
      </c>
      <c r="B92" s="6">
        <f>IF(LEN(C92=0),SUBTOTAL(3,$C$10:C92),"")</f>
        <v>73</v>
      </c>
      <c r="C92" s="54" t="s">
        <v>223</v>
      </c>
      <c r="D92" s="55" t="s">
        <v>375</v>
      </c>
      <c r="E92" s="56" t="s">
        <v>376</v>
      </c>
      <c r="F92" s="54" t="s">
        <v>366</v>
      </c>
      <c r="G92" s="57">
        <v>10</v>
      </c>
      <c r="H92" s="57">
        <v>7.5</v>
      </c>
      <c r="I92" s="64" t="s">
        <v>0</v>
      </c>
      <c r="J92" s="57">
        <v>7.5</v>
      </c>
      <c r="K92" s="10"/>
      <c r="L92" s="68">
        <v>6.8</v>
      </c>
      <c r="M92" s="69" t="str">
        <f>IFERROR(LOOKUP(INT(L92),Sheet1!$A$2:$A$12,Sheet1!$B$2:$B$12)&amp;" phẩy "&amp;(LOOKUP(ROUND(L92-INT(L92),1)*10,Sheet1!$A$2:$A$12,Sheet1!$C$2:$C$12)),"")</f>
        <v>Sáu phẩy tám</v>
      </c>
      <c r="N92" s="41"/>
      <c r="O92" s="20" t="s">
        <v>0</v>
      </c>
      <c r="P92" s="7">
        <f t="shared" si="0"/>
        <v>3.3</v>
      </c>
      <c r="Q92" s="8" t="str">
        <f t="shared" si="1"/>
        <v/>
      </c>
      <c r="R92" s="39" t="str">
        <f t="shared" si="6"/>
        <v>10</v>
      </c>
      <c r="S92" s="8" t="str">
        <f t="shared" si="3"/>
        <v/>
      </c>
      <c r="T92" s="9" t="s">
        <v>36</v>
      </c>
      <c r="U92" s="27" t="s">
        <v>4</v>
      </c>
      <c r="V92" s="31" t="s">
        <v>576</v>
      </c>
      <c r="W92" s="9" t="s">
        <v>40</v>
      </c>
      <c r="X92" s="9" t="s">
        <v>345</v>
      </c>
      <c r="Y92" s="9" t="s">
        <v>35</v>
      </c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</row>
    <row r="93" spans="1:39" ht="20.25" hidden="1" customHeight="1" x14ac:dyDescent="0.3">
      <c r="A93" s="1">
        <v>667</v>
      </c>
      <c r="B93" s="6">
        <f>IF(LEN(C93=0),SUBTOTAL(3,$C$10:C93),"")</f>
        <v>73</v>
      </c>
      <c r="C93" s="54" t="s">
        <v>190</v>
      </c>
      <c r="D93" s="55" t="s">
        <v>377</v>
      </c>
      <c r="E93" s="56" t="s">
        <v>378</v>
      </c>
      <c r="F93" s="54" t="s">
        <v>356</v>
      </c>
      <c r="G93" s="57">
        <v>9</v>
      </c>
      <c r="H93" s="57">
        <v>8</v>
      </c>
      <c r="I93" s="64" t="s">
        <v>0</v>
      </c>
      <c r="J93" s="57">
        <v>8.5</v>
      </c>
      <c r="K93" s="10"/>
      <c r="L93" s="68">
        <v>8.5</v>
      </c>
      <c r="M93" s="69" t="str">
        <f>IFERROR(LOOKUP(INT(L93),Sheet1!$A$2:$A$12,Sheet1!$B$2:$B$12)&amp;" phẩy "&amp;(LOOKUP(ROUND(L93-INT(L93),1)*10,Sheet1!$A$2:$A$12,Sheet1!$C$2:$C$12)),"")</f>
        <v>Tám phẩy năm</v>
      </c>
      <c r="N93" s="41"/>
      <c r="O93" s="20" t="s">
        <v>0</v>
      </c>
      <c r="P93" s="7">
        <f t="shared" si="0"/>
        <v>3.4</v>
      </c>
      <c r="Q93" s="8" t="str">
        <f t="shared" si="1"/>
        <v/>
      </c>
      <c r="R93" s="39" t="str">
        <f t="shared" si="6"/>
        <v>10</v>
      </c>
      <c r="S93" s="8" t="str">
        <f t="shared" si="3"/>
        <v/>
      </c>
      <c r="T93" s="9" t="s">
        <v>36</v>
      </c>
      <c r="U93" s="27" t="s">
        <v>4</v>
      </c>
      <c r="V93" s="31" t="s">
        <v>576</v>
      </c>
      <c r="W93" s="9" t="s">
        <v>40</v>
      </c>
      <c r="X93" s="9" t="s">
        <v>345</v>
      </c>
      <c r="Y93" s="9" t="s">
        <v>35</v>
      </c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</row>
    <row r="94" spans="1:39" ht="20.25" hidden="1" customHeight="1" x14ac:dyDescent="0.3">
      <c r="A94" s="1">
        <v>668</v>
      </c>
      <c r="B94" s="6">
        <f>IF(LEN(C94=0),SUBTOTAL(3,$C$10:C94),"")</f>
        <v>73</v>
      </c>
      <c r="C94" s="54" t="s">
        <v>261</v>
      </c>
      <c r="D94" s="55" t="s">
        <v>379</v>
      </c>
      <c r="E94" s="56" t="s">
        <v>378</v>
      </c>
      <c r="F94" s="54" t="s">
        <v>356</v>
      </c>
      <c r="G94" s="57">
        <v>9</v>
      </c>
      <c r="H94" s="57">
        <v>8</v>
      </c>
      <c r="I94" s="64" t="s">
        <v>0</v>
      </c>
      <c r="J94" s="57">
        <v>8.5</v>
      </c>
      <c r="K94" s="10"/>
      <c r="L94" s="68">
        <v>8.3000000000000007</v>
      </c>
      <c r="M94" s="69" t="str">
        <f>IFERROR(LOOKUP(INT(L94),Sheet1!$A$2:$A$12,Sheet1!$B$2:$B$12)&amp;" phẩy "&amp;(LOOKUP(ROUND(L94-INT(L94),1)*10,Sheet1!$A$2:$A$12,Sheet1!$C$2:$C$12)),"")</f>
        <v>Tám phẩy ba</v>
      </c>
      <c r="N94" s="41"/>
      <c r="O94" s="20" t="s">
        <v>0</v>
      </c>
      <c r="P94" s="7">
        <f t="shared" si="0"/>
        <v>3.4</v>
      </c>
      <c r="Q94" s="8" t="str">
        <f t="shared" si="1"/>
        <v/>
      </c>
      <c r="R94" s="39" t="str">
        <f t="shared" si="6"/>
        <v>10</v>
      </c>
      <c r="S94" s="8" t="str">
        <f t="shared" si="3"/>
        <v/>
      </c>
      <c r="T94" s="9" t="s">
        <v>36</v>
      </c>
      <c r="U94" s="27" t="s">
        <v>4</v>
      </c>
      <c r="V94" s="31" t="s">
        <v>576</v>
      </c>
      <c r="W94" s="9" t="s">
        <v>40</v>
      </c>
      <c r="X94" s="9" t="s">
        <v>345</v>
      </c>
      <c r="Y94" s="9" t="s">
        <v>35</v>
      </c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</row>
    <row r="95" spans="1:39" ht="20.25" hidden="1" customHeight="1" x14ac:dyDescent="0.3">
      <c r="A95" s="1">
        <v>669</v>
      </c>
      <c r="B95" s="6">
        <f>IF(LEN(C95=0),SUBTOTAL(3,$C$10:C95),"")</f>
        <v>73</v>
      </c>
      <c r="C95" s="54" t="s">
        <v>191</v>
      </c>
      <c r="D95" s="55" t="s">
        <v>380</v>
      </c>
      <c r="E95" s="56" t="s">
        <v>381</v>
      </c>
      <c r="F95" s="54" t="s">
        <v>366</v>
      </c>
      <c r="G95" s="57">
        <v>9</v>
      </c>
      <c r="H95" s="57">
        <v>8</v>
      </c>
      <c r="I95" s="64" t="s">
        <v>0</v>
      </c>
      <c r="J95" s="57">
        <v>8.5</v>
      </c>
      <c r="K95" s="10"/>
      <c r="L95" s="68">
        <v>7.3</v>
      </c>
      <c r="M95" s="69" t="str">
        <f>IFERROR(LOOKUP(INT(L95),Sheet1!$A$2:$A$12,Sheet1!$B$2:$B$12)&amp;" phẩy "&amp;(LOOKUP(ROUND(L95-INT(L95),1)*10,Sheet1!$A$2:$A$12,Sheet1!$C$2:$C$12)),"")</f>
        <v>Bảy phẩy ba</v>
      </c>
      <c r="N95" s="41"/>
      <c r="O95" s="20" t="s">
        <v>0</v>
      </c>
      <c r="P95" s="7">
        <f t="shared" si="0"/>
        <v>3.4</v>
      </c>
      <c r="Q95" s="8" t="str">
        <f t="shared" si="1"/>
        <v/>
      </c>
      <c r="R95" s="39" t="str">
        <f t="shared" si="6"/>
        <v>10</v>
      </c>
      <c r="S95" s="8" t="str">
        <f t="shared" si="3"/>
        <v/>
      </c>
      <c r="T95" s="9" t="s">
        <v>36</v>
      </c>
      <c r="U95" s="27" t="s">
        <v>4</v>
      </c>
      <c r="V95" s="31" t="s">
        <v>576</v>
      </c>
      <c r="W95" s="9" t="s">
        <v>40</v>
      </c>
      <c r="X95" s="9" t="s">
        <v>345</v>
      </c>
      <c r="Y95" s="9" t="s">
        <v>35</v>
      </c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</row>
    <row r="96" spans="1:39" ht="20.25" hidden="1" customHeight="1" x14ac:dyDescent="0.3">
      <c r="A96" s="1">
        <v>670</v>
      </c>
      <c r="B96" s="6">
        <f>IF(LEN(C96=0),SUBTOTAL(3,$C$10:C96),"")</f>
        <v>73</v>
      </c>
      <c r="C96" s="54" t="s">
        <v>234</v>
      </c>
      <c r="D96" s="55" t="s">
        <v>382</v>
      </c>
      <c r="E96" s="56" t="s">
        <v>383</v>
      </c>
      <c r="F96" s="54" t="s">
        <v>354</v>
      </c>
      <c r="G96" s="57">
        <v>2</v>
      </c>
      <c r="H96" s="57">
        <v>5</v>
      </c>
      <c r="I96" s="64" t="s">
        <v>0</v>
      </c>
      <c r="J96" s="57">
        <v>6</v>
      </c>
      <c r="K96" s="10"/>
      <c r="L96" s="68">
        <v>4</v>
      </c>
      <c r="M96" s="69" t="str">
        <f>IFERROR(LOOKUP(INT(L96),Sheet1!$A$2:$A$12,Sheet1!$B$2:$B$12)&amp;" phẩy "&amp;(LOOKUP(ROUND(L96-INT(L96),1)*10,Sheet1!$A$2:$A$12,Sheet1!$C$2:$C$12)),"")</f>
        <v>Bốn phẩy không</v>
      </c>
      <c r="N96" s="41"/>
      <c r="O96" s="20" t="s">
        <v>0</v>
      </c>
      <c r="P96" s="7">
        <f t="shared" si="0"/>
        <v>1.9</v>
      </c>
      <c r="Q96" s="8" t="str">
        <f t="shared" si="1"/>
        <v/>
      </c>
      <c r="R96" s="39" t="str">
        <f t="shared" si="6"/>
        <v>10</v>
      </c>
      <c r="S96" s="8" t="str">
        <f t="shared" si="3"/>
        <v/>
      </c>
      <c r="T96" s="9" t="s">
        <v>36</v>
      </c>
      <c r="U96" s="27" t="s">
        <v>4</v>
      </c>
      <c r="V96" s="31" t="s">
        <v>576</v>
      </c>
      <c r="W96" s="9" t="s">
        <v>40</v>
      </c>
      <c r="X96" s="9" t="s">
        <v>345</v>
      </c>
      <c r="Y96" s="9" t="s">
        <v>35</v>
      </c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</row>
    <row r="97" spans="1:39" ht="20.25" hidden="1" customHeight="1" x14ac:dyDescent="0.3">
      <c r="A97" s="1">
        <v>671</v>
      </c>
      <c r="B97" s="6">
        <f>IF(LEN(C97=0),SUBTOTAL(3,$C$10:C97),"")</f>
        <v>73</v>
      </c>
      <c r="C97" s="54" t="s">
        <v>217</v>
      </c>
      <c r="D97" s="55" t="s">
        <v>384</v>
      </c>
      <c r="E97" s="56" t="s">
        <v>383</v>
      </c>
      <c r="F97" s="54" t="s">
        <v>385</v>
      </c>
      <c r="G97" s="57">
        <v>10</v>
      </c>
      <c r="H97" s="57">
        <v>7.5</v>
      </c>
      <c r="I97" s="64" t="s">
        <v>0</v>
      </c>
      <c r="J97" s="57">
        <v>7.5</v>
      </c>
      <c r="K97" s="10"/>
      <c r="L97" s="68">
        <v>6.2</v>
      </c>
      <c r="M97" s="69" t="str">
        <f>IFERROR(LOOKUP(INT(L97),Sheet1!$A$2:$A$12,Sheet1!$B$2:$B$12)&amp;" phẩy "&amp;(LOOKUP(ROUND(L97-INT(L97),1)*10,Sheet1!$A$2:$A$12,Sheet1!$C$2:$C$12)),"")</f>
        <v>Sáu phẩy hai</v>
      </c>
      <c r="N97" s="41"/>
      <c r="O97" s="20" t="s">
        <v>0</v>
      </c>
      <c r="P97" s="7">
        <f t="shared" si="0"/>
        <v>3.3</v>
      </c>
      <c r="Q97" s="8" t="str">
        <f t="shared" si="1"/>
        <v/>
      </c>
      <c r="R97" s="39" t="str">
        <f t="shared" si="6"/>
        <v>10</v>
      </c>
      <c r="S97" s="8" t="str">
        <f t="shared" si="3"/>
        <v/>
      </c>
      <c r="T97" s="9" t="s">
        <v>36</v>
      </c>
      <c r="U97" s="27" t="s">
        <v>4</v>
      </c>
      <c r="V97" s="31" t="s">
        <v>576</v>
      </c>
      <c r="W97" s="9" t="s">
        <v>40</v>
      </c>
      <c r="X97" s="9" t="s">
        <v>345</v>
      </c>
      <c r="Y97" s="9" t="s">
        <v>35</v>
      </c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</row>
    <row r="98" spans="1:39" ht="20.25" hidden="1" customHeight="1" x14ac:dyDescent="0.3">
      <c r="A98" s="1">
        <v>672</v>
      </c>
      <c r="B98" s="6">
        <f>IF(LEN(C98=0),SUBTOTAL(3,$C$10:C98),"")</f>
        <v>73</v>
      </c>
      <c r="C98" s="54" t="s">
        <v>126</v>
      </c>
      <c r="D98" s="55" t="s">
        <v>386</v>
      </c>
      <c r="E98" s="56" t="s">
        <v>387</v>
      </c>
      <c r="F98" s="54" t="s">
        <v>388</v>
      </c>
      <c r="G98" s="57">
        <v>9</v>
      </c>
      <c r="H98" s="57">
        <v>8.5</v>
      </c>
      <c r="I98" s="64" t="s">
        <v>0</v>
      </c>
      <c r="J98" s="57">
        <v>7.5</v>
      </c>
      <c r="K98" s="10"/>
      <c r="L98" s="68">
        <v>7.3</v>
      </c>
      <c r="M98" s="69" t="str">
        <f>IFERROR(LOOKUP(INT(L98),Sheet1!$A$2:$A$12,Sheet1!$B$2:$B$12)&amp;" phẩy "&amp;(LOOKUP(ROUND(L98-INT(L98),1)*10,Sheet1!$A$2:$A$12,Sheet1!$C$2:$C$12)),"")</f>
        <v>Bảy phẩy ba</v>
      </c>
      <c r="N98" s="41"/>
      <c r="O98" s="20" t="s">
        <v>0</v>
      </c>
      <c r="P98" s="7">
        <f t="shared" si="0"/>
        <v>3.3</v>
      </c>
      <c r="Q98" s="8" t="str">
        <f t="shared" si="1"/>
        <v/>
      </c>
      <c r="R98" s="39" t="str">
        <f t="shared" si="6"/>
        <v>10</v>
      </c>
      <c r="S98" s="8" t="str">
        <f t="shared" si="3"/>
        <v/>
      </c>
      <c r="T98" s="9" t="s">
        <v>36</v>
      </c>
      <c r="U98" s="27" t="s">
        <v>4</v>
      </c>
      <c r="V98" s="31" t="s">
        <v>576</v>
      </c>
      <c r="W98" s="9" t="s">
        <v>40</v>
      </c>
      <c r="X98" s="9" t="s">
        <v>345</v>
      </c>
      <c r="Y98" s="9" t="s">
        <v>35</v>
      </c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</row>
    <row r="99" spans="1:39" ht="20.25" hidden="1" customHeight="1" x14ac:dyDescent="0.3">
      <c r="A99" s="1">
        <v>673</v>
      </c>
      <c r="B99" s="6">
        <f>IF(LEN(C99=0),SUBTOTAL(3,$C$10:C99),"")</f>
        <v>73</v>
      </c>
      <c r="C99" s="54" t="s">
        <v>120</v>
      </c>
      <c r="D99" s="55" t="s">
        <v>389</v>
      </c>
      <c r="E99" s="56" t="s">
        <v>390</v>
      </c>
      <c r="F99" s="54" t="s">
        <v>364</v>
      </c>
      <c r="G99" s="57">
        <v>10</v>
      </c>
      <c r="H99" s="57">
        <v>8.5</v>
      </c>
      <c r="I99" s="64" t="s">
        <v>0</v>
      </c>
      <c r="J99" s="57">
        <v>8.5</v>
      </c>
      <c r="K99" s="10"/>
      <c r="L99" s="68">
        <v>7.2</v>
      </c>
      <c r="M99" s="69" t="str">
        <f>IFERROR(LOOKUP(INT(L99),Sheet1!$A$2:$A$12,Sheet1!$B$2:$B$12)&amp;" phẩy "&amp;(LOOKUP(ROUND(L99-INT(L99),1)*10,Sheet1!$A$2:$A$12,Sheet1!$C$2:$C$12)),"")</f>
        <v>Bảy phẩy hai</v>
      </c>
      <c r="N99" s="41"/>
      <c r="O99" s="20" t="s">
        <v>0</v>
      </c>
      <c r="P99" s="7">
        <f t="shared" si="0"/>
        <v>3.6</v>
      </c>
      <c r="Q99" s="8" t="str">
        <f t="shared" si="1"/>
        <v/>
      </c>
      <c r="R99" s="39" t="str">
        <f t="shared" si="6"/>
        <v>10</v>
      </c>
      <c r="S99" s="8" t="str">
        <f t="shared" si="3"/>
        <v/>
      </c>
      <c r="T99" s="9" t="s">
        <v>36</v>
      </c>
      <c r="U99" s="27" t="s">
        <v>4</v>
      </c>
      <c r="V99" s="31" t="s">
        <v>576</v>
      </c>
      <c r="W99" s="9" t="s">
        <v>40</v>
      </c>
      <c r="X99" s="9" t="s">
        <v>345</v>
      </c>
      <c r="Y99" s="9" t="s">
        <v>35</v>
      </c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</row>
    <row r="100" spans="1:39" ht="20.25" hidden="1" customHeight="1" x14ac:dyDescent="0.3">
      <c r="A100" s="1">
        <v>674</v>
      </c>
      <c r="B100" s="6">
        <f>IF(LEN(C100=0),SUBTOTAL(3,$C$10:C100),"")</f>
        <v>73</v>
      </c>
      <c r="C100" s="54" t="s">
        <v>135</v>
      </c>
      <c r="D100" s="55" t="s">
        <v>391</v>
      </c>
      <c r="E100" s="56" t="s">
        <v>390</v>
      </c>
      <c r="F100" s="54" t="s">
        <v>369</v>
      </c>
      <c r="G100" s="57">
        <v>10</v>
      </c>
      <c r="H100" s="57">
        <v>8.5</v>
      </c>
      <c r="I100" s="64" t="s">
        <v>0</v>
      </c>
      <c r="J100" s="57">
        <v>7.5</v>
      </c>
      <c r="K100" s="10"/>
      <c r="L100" s="68">
        <v>7.2</v>
      </c>
      <c r="M100" s="69" t="str">
        <f>IFERROR(LOOKUP(INT(L100),Sheet1!$A$2:$A$12,Sheet1!$B$2:$B$12)&amp;" phẩy "&amp;(LOOKUP(ROUND(L100-INT(L100),1)*10,Sheet1!$A$2:$A$12,Sheet1!$C$2:$C$12)),"")</f>
        <v>Bảy phẩy hai</v>
      </c>
      <c r="N100" s="41"/>
      <c r="O100" s="20" t="s">
        <v>0</v>
      </c>
      <c r="P100" s="7">
        <f t="shared" si="0"/>
        <v>3.4</v>
      </c>
      <c r="Q100" s="8" t="str">
        <f t="shared" si="1"/>
        <v/>
      </c>
      <c r="R100" s="39" t="str">
        <f t="shared" si="6"/>
        <v>10</v>
      </c>
      <c r="S100" s="8" t="str">
        <f t="shared" si="3"/>
        <v/>
      </c>
      <c r="T100" s="9" t="s">
        <v>36</v>
      </c>
      <c r="U100" s="27" t="s">
        <v>4</v>
      </c>
      <c r="V100" s="31" t="s">
        <v>576</v>
      </c>
      <c r="W100" s="9" t="s">
        <v>40</v>
      </c>
      <c r="X100" s="9" t="s">
        <v>345</v>
      </c>
      <c r="Y100" s="9" t="s">
        <v>35</v>
      </c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</row>
    <row r="101" spans="1:39" ht="20.25" hidden="1" customHeight="1" x14ac:dyDescent="0.3">
      <c r="A101" s="1">
        <v>675</v>
      </c>
      <c r="B101" s="6">
        <f>IF(LEN(C101=0),SUBTOTAL(3,$C$10:C101),"")</f>
        <v>73</v>
      </c>
      <c r="C101" s="54" t="s">
        <v>103</v>
      </c>
      <c r="D101" s="55" t="s">
        <v>392</v>
      </c>
      <c r="E101" s="56" t="s">
        <v>393</v>
      </c>
      <c r="F101" s="54" t="s">
        <v>364</v>
      </c>
      <c r="G101" s="57">
        <v>9</v>
      </c>
      <c r="H101" s="57">
        <v>8</v>
      </c>
      <c r="I101" s="64" t="s">
        <v>0</v>
      </c>
      <c r="J101" s="57">
        <v>8.5</v>
      </c>
      <c r="K101" s="10"/>
      <c r="L101" s="68">
        <v>7.8</v>
      </c>
      <c r="M101" s="69" t="str">
        <f>IFERROR(LOOKUP(INT(L101),Sheet1!$A$2:$A$12,Sheet1!$B$2:$B$12)&amp;" phẩy "&amp;(LOOKUP(ROUND(L101-INT(L101),1)*10,Sheet1!$A$2:$A$12,Sheet1!$C$2:$C$12)),"")</f>
        <v>Bảy phẩy tám</v>
      </c>
      <c r="N101" s="41"/>
      <c r="O101" s="20" t="s">
        <v>0</v>
      </c>
      <c r="P101" s="7">
        <f t="shared" si="0"/>
        <v>3.4</v>
      </c>
      <c r="Q101" s="8" t="str">
        <f t="shared" si="1"/>
        <v/>
      </c>
      <c r="R101" s="39" t="str">
        <f t="shared" si="6"/>
        <v>10</v>
      </c>
      <c r="S101" s="8" t="str">
        <f t="shared" si="3"/>
        <v/>
      </c>
      <c r="T101" s="9" t="s">
        <v>36</v>
      </c>
      <c r="U101" s="27" t="s">
        <v>4</v>
      </c>
      <c r="V101" s="31" t="s">
        <v>576</v>
      </c>
      <c r="W101" s="9" t="s">
        <v>40</v>
      </c>
      <c r="X101" s="9" t="s">
        <v>345</v>
      </c>
      <c r="Y101" s="9" t="s">
        <v>35</v>
      </c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</row>
    <row r="102" spans="1:39" ht="20.25" hidden="1" customHeight="1" x14ac:dyDescent="0.3">
      <c r="A102" s="1">
        <v>676</v>
      </c>
      <c r="B102" s="6">
        <f>IF(LEN(C102=0),SUBTOTAL(3,$C$10:C102),"")</f>
        <v>73</v>
      </c>
      <c r="C102" s="54" t="s">
        <v>235</v>
      </c>
      <c r="D102" s="55" t="s">
        <v>394</v>
      </c>
      <c r="E102" s="56" t="s">
        <v>395</v>
      </c>
      <c r="F102" s="54" t="s">
        <v>359</v>
      </c>
      <c r="G102" s="57">
        <v>10</v>
      </c>
      <c r="H102" s="57">
        <v>8</v>
      </c>
      <c r="I102" s="64" t="s">
        <v>0</v>
      </c>
      <c r="J102" s="57">
        <v>7.5</v>
      </c>
      <c r="K102" s="10"/>
      <c r="L102" s="68">
        <v>7.7</v>
      </c>
      <c r="M102" s="69" t="str">
        <f>IFERROR(LOOKUP(INT(L102),Sheet1!$A$2:$A$12,Sheet1!$B$2:$B$12)&amp;" phẩy "&amp;(LOOKUP(ROUND(L102-INT(L102),1)*10,Sheet1!$A$2:$A$12,Sheet1!$C$2:$C$12)),"")</f>
        <v>Bảy phẩy bảy</v>
      </c>
      <c r="N102" s="41"/>
      <c r="O102" s="20" t="s">
        <v>0</v>
      </c>
      <c r="P102" s="7">
        <f t="shared" si="0"/>
        <v>3.3</v>
      </c>
      <c r="Q102" s="8" t="str">
        <f t="shared" si="1"/>
        <v/>
      </c>
      <c r="R102" s="39" t="str">
        <f t="shared" si="6"/>
        <v>10</v>
      </c>
      <c r="S102" s="8" t="str">
        <f t="shared" si="3"/>
        <v/>
      </c>
      <c r="T102" s="9" t="s">
        <v>36</v>
      </c>
      <c r="U102" s="27" t="s">
        <v>4</v>
      </c>
      <c r="V102" s="31" t="s">
        <v>576</v>
      </c>
      <c r="W102" s="9" t="s">
        <v>40</v>
      </c>
      <c r="X102" s="9" t="s">
        <v>345</v>
      </c>
      <c r="Y102" s="9" t="s">
        <v>35</v>
      </c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</row>
    <row r="103" spans="1:39" ht="20.25" hidden="1" customHeight="1" x14ac:dyDescent="0.3">
      <c r="A103" s="1">
        <v>677</v>
      </c>
      <c r="B103" s="6">
        <f>IF(LEN(C103=0),SUBTOTAL(3,$C$10:C103),"")</f>
        <v>73</v>
      </c>
      <c r="C103" s="54" t="s">
        <v>94</v>
      </c>
      <c r="D103" s="55" t="s">
        <v>373</v>
      </c>
      <c r="E103" s="56" t="s">
        <v>396</v>
      </c>
      <c r="F103" s="54" t="s">
        <v>364</v>
      </c>
      <c r="G103" s="57">
        <v>10</v>
      </c>
      <c r="H103" s="57">
        <v>8.5</v>
      </c>
      <c r="I103" s="64" t="s">
        <v>0</v>
      </c>
      <c r="J103" s="57">
        <v>7.5</v>
      </c>
      <c r="K103" s="10"/>
      <c r="L103" s="68">
        <v>7.7</v>
      </c>
      <c r="M103" s="69" t="str">
        <f>IFERROR(LOOKUP(INT(L103),Sheet1!$A$2:$A$12,Sheet1!$B$2:$B$12)&amp;" phẩy "&amp;(LOOKUP(ROUND(L103-INT(L103),1)*10,Sheet1!$A$2:$A$12,Sheet1!$C$2:$C$12)),"")</f>
        <v>Bảy phẩy bảy</v>
      </c>
      <c r="N103" s="41"/>
      <c r="O103" s="20" t="s">
        <v>0</v>
      </c>
      <c r="P103" s="7">
        <f t="shared" si="0"/>
        <v>3.4</v>
      </c>
      <c r="Q103" s="8" t="str">
        <f t="shared" si="1"/>
        <v/>
      </c>
      <c r="R103" s="39" t="str">
        <f t="shared" si="6"/>
        <v>10</v>
      </c>
      <c r="S103" s="8" t="str">
        <f t="shared" si="3"/>
        <v/>
      </c>
      <c r="T103" s="9" t="s">
        <v>36</v>
      </c>
      <c r="U103" s="27" t="s">
        <v>4</v>
      </c>
      <c r="V103" s="31" t="s">
        <v>576</v>
      </c>
      <c r="W103" s="9" t="s">
        <v>40</v>
      </c>
      <c r="X103" s="9" t="s">
        <v>345</v>
      </c>
      <c r="Y103" s="9" t="s">
        <v>35</v>
      </c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</row>
    <row r="104" spans="1:39" ht="20.25" hidden="1" customHeight="1" x14ac:dyDescent="0.3">
      <c r="A104" s="1">
        <v>678</v>
      </c>
      <c r="B104" s="6">
        <f>IF(LEN(C104=0),SUBTOTAL(3,$C$10:C104),"")</f>
        <v>73</v>
      </c>
      <c r="C104" s="54" t="s">
        <v>236</v>
      </c>
      <c r="D104" s="55" t="s">
        <v>397</v>
      </c>
      <c r="E104" s="56" t="s">
        <v>396</v>
      </c>
      <c r="F104" s="54" t="s">
        <v>372</v>
      </c>
      <c r="G104" s="57">
        <v>10</v>
      </c>
      <c r="H104" s="57">
        <v>8.5</v>
      </c>
      <c r="I104" s="64" t="s">
        <v>0</v>
      </c>
      <c r="J104" s="57">
        <v>7.5</v>
      </c>
      <c r="K104" s="10"/>
      <c r="L104" s="68">
        <v>7.7</v>
      </c>
      <c r="M104" s="69" t="str">
        <f>IFERROR(LOOKUP(INT(L104),Sheet1!$A$2:$A$12,Sheet1!$B$2:$B$12)&amp;" phẩy "&amp;(LOOKUP(ROUND(L104-INT(L104),1)*10,Sheet1!$A$2:$A$12,Sheet1!$C$2:$C$12)),"")</f>
        <v>Bảy phẩy bảy</v>
      </c>
      <c r="N104" s="41"/>
      <c r="O104" s="20" t="s">
        <v>0</v>
      </c>
      <c r="P104" s="7">
        <f t="shared" si="0"/>
        <v>3.4</v>
      </c>
      <c r="Q104" s="8" t="str">
        <f t="shared" si="1"/>
        <v/>
      </c>
      <c r="R104" s="39" t="str">
        <f t="shared" si="6"/>
        <v>10</v>
      </c>
      <c r="S104" s="8" t="str">
        <f t="shared" si="3"/>
        <v/>
      </c>
      <c r="T104" s="9" t="s">
        <v>36</v>
      </c>
      <c r="U104" s="27" t="s">
        <v>4</v>
      </c>
      <c r="V104" s="31" t="s">
        <v>576</v>
      </c>
      <c r="W104" s="9" t="s">
        <v>40</v>
      </c>
      <c r="X104" s="9" t="s">
        <v>345</v>
      </c>
      <c r="Y104" s="9" t="s">
        <v>35</v>
      </c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</row>
    <row r="105" spans="1:39" ht="20.25" hidden="1" customHeight="1" x14ac:dyDescent="0.3">
      <c r="A105" s="1">
        <v>679</v>
      </c>
      <c r="B105" s="6">
        <f>IF(LEN(C105=0),SUBTOTAL(3,$C$10:C105),"")</f>
        <v>73</v>
      </c>
      <c r="C105" s="54" t="s">
        <v>165</v>
      </c>
      <c r="D105" s="55" t="s">
        <v>398</v>
      </c>
      <c r="E105" s="56" t="s">
        <v>399</v>
      </c>
      <c r="F105" s="54" t="s">
        <v>400</v>
      </c>
      <c r="G105" s="57">
        <v>10</v>
      </c>
      <c r="H105" s="57">
        <v>7.5</v>
      </c>
      <c r="I105" s="64" t="s">
        <v>0</v>
      </c>
      <c r="J105" s="57">
        <v>7</v>
      </c>
      <c r="K105" s="10"/>
      <c r="L105" s="68">
        <v>7.2</v>
      </c>
      <c r="M105" s="69" t="str">
        <f>IFERROR(LOOKUP(INT(L105),Sheet1!$A$2:$A$12,Sheet1!$B$2:$B$12)&amp;" phẩy "&amp;(LOOKUP(ROUND(L105-INT(L105),1)*10,Sheet1!$A$2:$A$12,Sheet1!$C$2:$C$12)),"")</f>
        <v>Bảy phẩy hai</v>
      </c>
      <c r="N105" s="41"/>
      <c r="O105" s="20" t="s">
        <v>0</v>
      </c>
      <c r="P105" s="7">
        <f t="shared" si="0"/>
        <v>3.2</v>
      </c>
      <c r="Q105" s="8" t="str">
        <f t="shared" si="1"/>
        <v/>
      </c>
      <c r="R105" s="39" t="str">
        <f t="shared" si="6"/>
        <v>10</v>
      </c>
      <c r="S105" s="8" t="str">
        <f t="shared" si="3"/>
        <v/>
      </c>
      <c r="T105" s="9" t="s">
        <v>36</v>
      </c>
      <c r="U105" s="27" t="s">
        <v>4</v>
      </c>
      <c r="V105" s="31" t="s">
        <v>576</v>
      </c>
      <c r="W105" s="9" t="s">
        <v>40</v>
      </c>
      <c r="X105" s="9" t="s">
        <v>345</v>
      </c>
      <c r="Y105" s="9" t="s">
        <v>35</v>
      </c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</row>
    <row r="106" spans="1:39" ht="20.25" hidden="1" customHeight="1" x14ac:dyDescent="0.3">
      <c r="A106" s="1">
        <v>680</v>
      </c>
      <c r="B106" s="6">
        <f>IF(LEN(C106=0),SUBTOTAL(3,$C$10:C106),"")</f>
        <v>73</v>
      </c>
      <c r="C106" s="54" t="s">
        <v>206</v>
      </c>
      <c r="D106" s="55" t="s">
        <v>401</v>
      </c>
      <c r="E106" s="56" t="s">
        <v>402</v>
      </c>
      <c r="F106" s="54" t="s">
        <v>354</v>
      </c>
      <c r="G106" s="57">
        <v>9</v>
      </c>
      <c r="H106" s="57">
        <v>7.5</v>
      </c>
      <c r="I106" s="64" t="s">
        <v>0</v>
      </c>
      <c r="J106" s="57">
        <v>7</v>
      </c>
      <c r="K106" s="10"/>
      <c r="L106" s="68">
        <v>7.7</v>
      </c>
      <c r="M106" s="69" t="str">
        <f>IFERROR(LOOKUP(INT(L106),Sheet1!$A$2:$A$12,Sheet1!$B$2:$B$12)&amp;" phẩy "&amp;(LOOKUP(ROUND(L106-INT(L106),1)*10,Sheet1!$A$2:$A$12,Sheet1!$C$2:$C$12)),"")</f>
        <v>Bảy phẩy bảy</v>
      </c>
      <c r="N106" s="41"/>
      <c r="O106" s="20" t="s">
        <v>0</v>
      </c>
      <c r="P106" s="7">
        <f t="shared" si="0"/>
        <v>3.1</v>
      </c>
      <c r="Q106" s="8" t="str">
        <f t="shared" si="1"/>
        <v/>
      </c>
      <c r="R106" s="39" t="str">
        <f t="shared" si="6"/>
        <v>10</v>
      </c>
      <c r="S106" s="8" t="str">
        <f t="shared" si="3"/>
        <v/>
      </c>
      <c r="T106" s="9" t="s">
        <v>36</v>
      </c>
      <c r="U106" s="27" t="s">
        <v>4</v>
      </c>
      <c r="V106" s="31" t="s">
        <v>576</v>
      </c>
      <c r="W106" s="9" t="s">
        <v>40</v>
      </c>
      <c r="X106" s="9" t="s">
        <v>345</v>
      </c>
      <c r="Y106" s="9" t="s">
        <v>35</v>
      </c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</row>
    <row r="107" spans="1:39" ht="20.25" hidden="1" customHeight="1" x14ac:dyDescent="0.3">
      <c r="A107" s="1">
        <v>681</v>
      </c>
      <c r="B107" s="6">
        <f>IF(LEN(C107=0),SUBTOTAL(3,$C$10:C107),"")</f>
        <v>73</v>
      </c>
      <c r="C107" s="54" t="s">
        <v>249</v>
      </c>
      <c r="D107" s="55" t="s">
        <v>403</v>
      </c>
      <c r="E107" s="56" t="s">
        <v>402</v>
      </c>
      <c r="F107" s="54" t="s">
        <v>362</v>
      </c>
      <c r="G107" s="57">
        <v>2</v>
      </c>
      <c r="H107" s="57">
        <v>7.5</v>
      </c>
      <c r="I107" s="64" t="s">
        <v>0</v>
      </c>
      <c r="J107" s="57">
        <v>7</v>
      </c>
      <c r="K107" s="10"/>
      <c r="L107" s="68">
        <v>3.7</v>
      </c>
      <c r="M107" s="69" t="str">
        <f>IFERROR(LOOKUP(INT(L107),Sheet1!$A$2:$A$12,Sheet1!$B$2:$B$12)&amp;" phẩy "&amp;(LOOKUP(ROUND(L107-INT(L107),1)*10,Sheet1!$A$2:$A$12,Sheet1!$C$2:$C$12)),"")</f>
        <v>Ba phẩy bảy</v>
      </c>
      <c r="N107" s="41"/>
      <c r="O107" s="20" t="s">
        <v>0</v>
      </c>
      <c r="P107" s="7">
        <f t="shared" si="0"/>
        <v>2.4</v>
      </c>
      <c r="Q107" s="8" t="str">
        <f t="shared" si="1"/>
        <v/>
      </c>
      <c r="R107" s="39" t="str">
        <f t="shared" si="6"/>
        <v>10</v>
      </c>
      <c r="S107" s="8" t="str">
        <f t="shared" si="3"/>
        <v/>
      </c>
      <c r="T107" s="9" t="s">
        <v>36</v>
      </c>
      <c r="U107" s="27" t="s">
        <v>4</v>
      </c>
      <c r="V107" s="31" t="s">
        <v>576</v>
      </c>
      <c r="W107" s="9" t="s">
        <v>40</v>
      </c>
      <c r="X107" s="9" t="s">
        <v>345</v>
      </c>
      <c r="Y107" s="9" t="s">
        <v>35</v>
      </c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</row>
    <row r="108" spans="1:39" ht="20.25" hidden="1" customHeight="1" x14ac:dyDescent="0.3">
      <c r="A108" s="1">
        <v>682</v>
      </c>
      <c r="B108" s="6">
        <f>IF(LEN(C108=0),SUBTOTAL(3,$C$10:C108),"")</f>
        <v>73</v>
      </c>
      <c r="C108" s="54" t="s">
        <v>187</v>
      </c>
      <c r="D108" s="55" t="s">
        <v>404</v>
      </c>
      <c r="E108" s="56" t="s">
        <v>402</v>
      </c>
      <c r="F108" s="54" t="s">
        <v>385</v>
      </c>
      <c r="G108" s="57">
        <v>9</v>
      </c>
      <c r="H108" s="57">
        <v>8.5</v>
      </c>
      <c r="I108" s="64" t="s">
        <v>0</v>
      </c>
      <c r="J108" s="57">
        <v>7.5</v>
      </c>
      <c r="K108" s="10"/>
      <c r="L108" s="68">
        <v>6.7</v>
      </c>
      <c r="M108" s="69" t="str">
        <f>IFERROR(LOOKUP(INT(L108),Sheet1!$A$2:$A$12,Sheet1!$B$2:$B$12)&amp;" phẩy "&amp;(LOOKUP(ROUND(L108-INT(L108),1)*10,Sheet1!$A$2:$A$12,Sheet1!$C$2:$C$12)),"")</f>
        <v>Sáu phẩy bảy</v>
      </c>
      <c r="N108" s="41"/>
      <c r="O108" s="20" t="s">
        <v>0</v>
      </c>
      <c r="P108" s="7">
        <f t="shared" si="0"/>
        <v>3.3</v>
      </c>
      <c r="Q108" s="8" t="str">
        <f t="shared" si="1"/>
        <v/>
      </c>
      <c r="R108" s="39" t="str">
        <f t="shared" si="6"/>
        <v>10</v>
      </c>
      <c r="S108" s="8" t="str">
        <f t="shared" si="3"/>
        <v/>
      </c>
      <c r="T108" s="9" t="s">
        <v>36</v>
      </c>
      <c r="U108" s="27" t="s">
        <v>4</v>
      </c>
      <c r="V108" s="31" t="s">
        <v>576</v>
      </c>
      <c r="W108" s="9" t="s">
        <v>40</v>
      </c>
      <c r="X108" s="9" t="s">
        <v>345</v>
      </c>
      <c r="Y108" s="9" t="s">
        <v>35</v>
      </c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</row>
    <row r="109" spans="1:39" ht="20.25" hidden="1" customHeight="1" x14ac:dyDescent="0.3">
      <c r="A109" s="1">
        <v>683</v>
      </c>
      <c r="B109" s="6">
        <f>IF(LEN(C109=0),SUBTOTAL(3,$C$10:C109),"")</f>
        <v>73</v>
      </c>
      <c r="C109" s="54" t="s">
        <v>200</v>
      </c>
      <c r="D109" s="55" t="s">
        <v>405</v>
      </c>
      <c r="E109" s="56" t="s">
        <v>402</v>
      </c>
      <c r="F109" s="54" t="s">
        <v>362</v>
      </c>
      <c r="G109" s="57">
        <v>10</v>
      </c>
      <c r="H109" s="57">
        <v>8</v>
      </c>
      <c r="I109" s="64" t="s">
        <v>0</v>
      </c>
      <c r="J109" s="57">
        <v>7.5</v>
      </c>
      <c r="K109" s="10"/>
      <c r="L109" s="68">
        <v>7.5</v>
      </c>
      <c r="M109" s="69" t="str">
        <f>IFERROR(LOOKUP(INT(L109),Sheet1!$A$2:$A$12,Sheet1!$B$2:$B$12)&amp;" phẩy "&amp;(LOOKUP(ROUND(L109-INT(L109),1)*10,Sheet1!$A$2:$A$12,Sheet1!$C$2:$C$12)),"")</f>
        <v>Bảy phẩy năm</v>
      </c>
      <c r="N109" s="41"/>
      <c r="O109" s="20" t="s">
        <v>0</v>
      </c>
      <c r="P109" s="7">
        <f t="shared" si="0"/>
        <v>3.3</v>
      </c>
      <c r="Q109" s="8" t="str">
        <f t="shared" si="1"/>
        <v/>
      </c>
      <c r="R109" s="39" t="str">
        <f t="shared" si="6"/>
        <v>10</v>
      </c>
      <c r="S109" s="8" t="str">
        <f t="shared" si="3"/>
        <v/>
      </c>
      <c r="T109" s="9" t="s">
        <v>36</v>
      </c>
      <c r="U109" s="27" t="s">
        <v>4</v>
      </c>
      <c r="V109" s="31" t="s">
        <v>576</v>
      </c>
      <c r="W109" s="9" t="s">
        <v>40</v>
      </c>
      <c r="X109" s="9" t="s">
        <v>345</v>
      </c>
      <c r="Y109" s="9" t="s">
        <v>35</v>
      </c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</row>
    <row r="110" spans="1:39" ht="20.25" hidden="1" customHeight="1" x14ac:dyDescent="0.3">
      <c r="A110" s="1">
        <v>684</v>
      </c>
      <c r="B110" s="6">
        <f>IF(LEN(C110=0),SUBTOTAL(3,$C$10:C110),"")</f>
        <v>73</v>
      </c>
      <c r="C110" s="54" t="s">
        <v>194</v>
      </c>
      <c r="D110" s="55" t="s">
        <v>406</v>
      </c>
      <c r="E110" s="56" t="s">
        <v>402</v>
      </c>
      <c r="F110" s="54" t="s">
        <v>366</v>
      </c>
      <c r="G110" s="57">
        <v>10</v>
      </c>
      <c r="H110" s="57">
        <v>8.5</v>
      </c>
      <c r="I110" s="64" t="s">
        <v>0</v>
      </c>
      <c r="J110" s="57">
        <v>7.5</v>
      </c>
      <c r="K110" s="10"/>
      <c r="L110" s="68">
        <v>7.3</v>
      </c>
      <c r="M110" s="69" t="str">
        <f>IFERROR(LOOKUP(INT(L110),Sheet1!$A$2:$A$12,Sheet1!$B$2:$B$12)&amp;" phẩy "&amp;(LOOKUP(ROUND(L110-INT(L110),1)*10,Sheet1!$A$2:$A$12,Sheet1!$C$2:$C$12)),"")</f>
        <v>Bảy phẩy ba</v>
      </c>
      <c r="N110" s="41"/>
      <c r="O110" s="20" t="s">
        <v>0</v>
      </c>
      <c r="P110" s="7">
        <f t="shared" si="0"/>
        <v>3.4</v>
      </c>
      <c r="Q110" s="8" t="str">
        <f t="shared" si="1"/>
        <v/>
      </c>
      <c r="R110" s="39" t="str">
        <f t="shared" si="6"/>
        <v>10</v>
      </c>
      <c r="S110" s="8" t="str">
        <f t="shared" si="3"/>
        <v/>
      </c>
      <c r="T110" s="9" t="s">
        <v>36</v>
      </c>
      <c r="U110" s="27" t="s">
        <v>4</v>
      </c>
      <c r="V110" s="31" t="s">
        <v>576</v>
      </c>
      <c r="W110" s="9" t="s">
        <v>40</v>
      </c>
      <c r="X110" s="9" t="s">
        <v>345</v>
      </c>
      <c r="Y110" s="9" t="s">
        <v>35</v>
      </c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</row>
    <row r="111" spans="1:39" ht="20.25" hidden="1" customHeight="1" x14ac:dyDescent="0.3">
      <c r="A111" s="1">
        <v>685</v>
      </c>
      <c r="B111" s="6">
        <f>IF(LEN(C111=0),SUBTOTAL(3,$C$10:C111),"")</f>
        <v>73</v>
      </c>
      <c r="C111" s="54" t="s">
        <v>144</v>
      </c>
      <c r="D111" s="55" t="s">
        <v>407</v>
      </c>
      <c r="E111" s="56" t="s">
        <v>408</v>
      </c>
      <c r="F111" s="54" t="s">
        <v>372</v>
      </c>
      <c r="G111" s="57">
        <v>10</v>
      </c>
      <c r="H111" s="57">
        <v>8.5</v>
      </c>
      <c r="I111" s="64" t="s">
        <v>0</v>
      </c>
      <c r="J111" s="57">
        <v>8.5</v>
      </c>
      <c r="K111" s="10"/>
      <c r="L111" s="68">
        <v>7.2</v>
      </c>
      <c r="M111" s="69" t="str">
        <f>IFERROR(LOOKUP(INT(L111),Sheet1!$A$2:$A$12,Sheet1!$B$2:$B$12)&amp;" phẩy "&amp;(LOOKUP(ROUND(L111-INT(L111),1)*10,Sheet1!$A$2:$A$12,Sheet1!$C$2:$C$12)),"")</f>
        <v>Bảy phẩy hai</v>
      </c>
      <c r="N111" s="41"/>
      <c r="O111" s="20" t="s">
        <v>0</v>
      </c>
      <c r="P111" s="7">
        <f t="shared" si="0"/>
        <v>3.6</v>
      </c>
      <c r="Q111" s="8" t="str">
        <f t="shared" si="1"/>
        <v/>
      </c>
      <c r="R111" s="39" t="str">
        <f t="shared" si="6"/>
        <v>10</v>
      </c>
      <c r="S111" s="8" t="str">
        <f t="shared" si="3"/>
        <v/>
      </c>
      <c r="T111" s="9" t="s">
        <v>36</v>
      </c>
      <c r="U111" s="27" t="s">
        <v>4</v>
      </c>
      <c r="V111" s="31" t="s">
        <v>576</v>
      </c>
      <c r="W111" s="9" t="s">
        <v>40</v>
      </c>
      <c r="X111" s="9" t="s">
        <v>345</v>
      </c>
      <c r="Y111" s="9" t="s">
        <v>35</v>
      </c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</row>
    <row r="112" spans="1:39" ht="20.25" hidden="1" customHeight="1" x14ac:dyDescent="0.3">
      <c r="A112" s="1">
        <v>686</v>
      </c>
      <c r="B112" s="6">
        <f>IF(LEN(C112=0),SUBTOTAL(3,$C$10:C112),"")</f>
        <v>73</v>
      </c>
      <c r="C112" s="54" t="s">
        <v>207</v>
      </c>
      <c r="D112" s="55" t="s">
        <v>409</v>
      </c>
      <c r="E112" s="56" t="s">
        <v>410</v>
      </c>
      <c r="F112" s="54" t="s">
        <v>359</v>
      </c>
      <c r="G112" s="57">
        <v>8</v>
      </c>
      <c r="H112" s="57">
        <v>8.5</v>
      </c>
      <c r="I112" s="64" t="s">
        <v>0</v>
      </c>
      <c r="J112" s="57">
        <v>8.5</v>
      </c>
      <c r="K112" s="10"/>
      <c r="L112" s="68">
        <v>5.5</v>
      </c>
      <c r="M112" s="69" t="str">
        <f>IFERROR(LOOKUP(INT(L112),Sheet1!$A$2:$A$12,Sheet1!$B$2:$B$12)&amp;" phẩy "&amp;(LOOKUP(ROUND(L112-INT(L112),1)*10,Sheet1!$A$2:$A$12,Sheet1!$C$2:$C$12)),"")</f>
        <v>Năm phẩy năm</v>
      </c>
      <c r="N112" s="41"/>
      <c r="O112" s="20" t="s">
        <v>0</v>
      </c>
      <c r="P112" s="7">
        <f t="shared" si="0"/>
        <v>3.4</v>
      </c>
      <c r="Q112" s="8" t="str">
        <f t="shared" si="1"/>
        <v/>
      </c>
      <c r="R112" s="39" t="str">
        <f t="shared" si="6"/>
        <v>10</v>
      </c>
      <c r="S112" s="8" t="str">
        <f t="shared" si="3"/>
        <v/>
      </c>
      <c r="T112" s="9" t="s">
        <v>36</v>
      </c>
      <c r="U112" s="27" t="s">
        <v>4</v>
      </c>
      <c r="V112" s="31" t="s">
        <v>576</v>
      </c>
      <c r="W112" s="9" t="s">
        <v>40</v>
      </c>
      <c r="X112" s="9" t="s">
        <v>345</v>
      </c>
      <c r="Y112" s="9" t="s">
        <v>35</v>
      </c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</row>
    <row r="113" spans="1:39" ht="20.25" hidden="1" customHeight="1" x14ac:dyDescent="0.3">
      <c r="A113" s="1">
        <v>687</v>
      </c>
      <c r="B113" s="6">
        <f>IF(LEN(C113=0),SUBTOTAL(3,$C$10:C113),"")</f>
        <v>73</v>
      </c>
      <c r="C113" s="54" t="s">
        <v>237</v>
      </c>
      <c r="D113" s="55" t="s">
        <v>411</v>
      </c>
      <c r="E113" s="56" t="s">
        <v>412</v>
      </c>
      <c r="F113" s="54" t="s">
        <v>413</v>
      </c>
      <c r="G113" s="57">
        <v>10</v>
      </c>
      <c r="H113" s="57">
        <v>8.5</v>
      </c>
      <c r="I113" s="64" t="s">
        <v>0</v>
      </c>
      <c r="J113" s="57">
        <v>8</v>
      </c>
      <c r="K113" s="10"/>
      <c r="L113" s="68">
        <v>8.5</v>
      </c>
      <c r="M113" s="69" t="str">
        <f>IFERROR(LOOKUP(INT(L113),Sheet1!$A$2:$A$12,Sheet1!$B$2:$B$12)&amp;" phẩy "&amp;(LOOKUP(ROUND(L113-INT(L113),1)*10,Sheet1!$A$2:$A$12,Sheet1!$C$2:$C$12)),"")</f>
        <v>Tám phẩy năm</v>
      </c>
      <c r="N113" s="41"/>
      <c r="O113" s="20" t="s">
        <v>0</v>
      </c>
      <c r="P113" s="7">
        <f t="shared" si="0"/>
        <v>3.5</v>
      </c>
      <c r="Q113" s="8" t="str">
        <f t="shared" si="1"/>
        <v/>
      </c>
      <c r="R113" s="39" t="str">
        <f t="shared" si="6"/>
        <v>10</v>
      </c>
      <c r="S113" s="8" t="str">
        <f t="shared" si="3"/>
        <v/>
      </c>
      <c r="T113" s="9" t="s">
        <v>36</v>
      </c>
      <c r="U113" s="27" t="s">
        <v>4</v>
      </c>
      <c r="V113" s="31" t="s">
        <v>576</v>
      </c>
      <c r="W113" s="9" t="s">
        <v>40</v>
      </c>
      <c r="X113" s="9" t="s">
        <v>345</v>
      </c>
      <c r="Y113" s="9" t="s">
        <v>35</v>
      </c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</row>
    <row r="114" spans="1:39" ht="20.25" hidden="1" customHeight="1" x14ac:dyDescent="0.3">
      <c r="A114" s="1">
        <v>688</v>
      </c>
      <c r="B114" s="6">
        <f>IF(LEN(C114=0),SUBTOTAL(3,$C$10:C114),"")</f>
        <v>73</v>
      </c>
      <c r="C114" s="54" t="s">
        <v>238</v>
      </c>
      <c r="D114" s="55" t="s">
        <v>414</v>
      </c>
      <c r="E114" s="56" t="s">
        <v>415</v>
      </c>
      <c r="F114" s="54" t="s">
        <v>359</v>
      </c>
      <c r="G114" s="57">
        <v>9</v>
      </c>
      <c r="H114" s="57">
        <v>8</v>
      </c>
      <c r="I114" s="64" t="s">
        <v>0</v>
      </c>
      <c r="J114" s="57">
        <v>7.5</v>
      </c>
      <c r="K114" s="10"/>
      <c r="L114" s="68">
        <v>7.5</v>
      </c>
      <c r="M114" s="69" t="str">
        <f>IFERROR(LOOKUP(INT(L114),Sheet1!$A$2:$A$12,Sheet1!$B$2:$B$12)&amp;" phẩy "&amp;(LOOKUP(ROUND(L114-INT(L114),1)*10,Sheet1!$A$2:$A$12,Sheet1!$C$2:$C$12)),"")</f>
        <v>Bảy phẩy năm</v>
      </c>
      <c r="N114" s="41"/>
      <c r="O114" s="20" t="s">
        <v>0</v>
      </c>
      <c r="P114" s="7">
        <f t="shared" si="0"/>
        <v>3.2</v>
      </c>
      <c r="Q114" s="8" t="str">
        <f t="shared" si="1"/>
        <v/>
      </c>
      <c r="R114" s="39" t="str">
        <f t="shared" si="6"/>
        <v>10</v>
      </c>
      <c r="S114" s="8" t="str">
        <f t="shared" si="3"/>
        <v/>
      </c>
      <c r="T114" s="9" t="s">
        <v>36</v>
      </c>
      <c r="U114" s="27" t="s">
        <v>4</v>
      </c>
      <c r="V114" s="31" t="s">
        <v>576</v>
      </c>
      <c r="W114" s="9" t="s">
        <v>40</v>
      </c>
      <c r="X114" s="9" t="s">
        <v>345</v>
      </c>
      <c r="Y114" s="9" t="s">
        <v>35</v>
      </c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</row>
    <row r="115" spans="1:39" ht="20.25" hidden="1" customHeight="1" x14ac:dyDescent="0.3">
      <c r="A115" s="1">
        <v>689</v>
      </c>
      <c r="B115" s="6">
        <f>IF(LEN(C115=0),SUBTOTAL(3,$C$10:C115),"")</f>
        <v>73</v>
      </c>
      <c r="C115" s="54" t="s">
        <v>195</v>
      </c>
      <c r="D115" s="55" t="s">
        <v>416</v>
      </c>
      <c r="E115" s="56" t="s">
        <v>415</v>
      </c>
      <c r="F115" s="54" t="s">
        <v>354</v>
      </c>
      <c r="G115" s="57">
        <v>10</v>
      </c>
      <c r="H115" s="57">
        <v>8</v>
      </c>
      <c r="I115" s="64" t="s">
        <v>0</v>
      </c>
      <c r="J115" s="57">
        <v>8.5</v>
      </c>
      <c r="K115" s="10"/>
      <c r="L115" s="68">
        <v>6.8</v>
      </c>
      <c r="M115" s="69" t="str">
        <f>IFERROR(LOOKUP(INT(L115),Sheet1!$A$2:$A$12,Sheet1!$B$2:$B$12)&amp;" phẩy "&amp;(LOOKUP(ROUND(L115-INT(L115),1)*10,Sheet1!$A$2:$A$12,Sheet1!$C$2:$C$12)),"")</f>
        <v>Sáu phẩy tám</v>
      </c>
      <c r="N115" s="41"/>
      <c r="O115" s="20" t="s">
        <v>0</v>
      </c>
      <c r="P115" s="7">
        <f t="shared" si="0"/>
        <v>3.5</v>
      </c>
      <c r="Q115" s="8" t="str">
        <f t="shared" si="1"/>
        <v/>
      </c>
      <c r="R115" s="39" t="str">
        <f t="shared" si="6"/>
        <v>10</v>
      </c>
      <c r="S115" s="8" t="str">
        <f t="shared" si="3"/>
        <v/>
      </c>
      <c r="T115" s="9" t="s">
        <v>36</v>
      </c>
      <c r="U115" s="27" t="s">
        <v>4</v>
      </c>
      <c r="V115" s="31" t="s">
        <v>576</v>
      </c>
      <c r="W115" s="9" t="s">
        <v>40</v>
      </c>
      <c r="X115" s="9" t="s">
        <v>345</v>
      </c>
      <c r="Y115" s="9" t="s">
        <v>35</v>
      </c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</row>
    <row r="116" spans="1:39" ht="20.25" hidden="1" customHeight="1" x14ac:dyDescent="0.3">
      <c r="A116" s="1">
        <v>690</v>
      </c>
      <c r="B116" s="6">
        <f>IF(LEN(C116=0),SUBTOTAL(3,$C$10:C116),"")</f>
        <v>73</v>
      </c>
      <c r="C116" s="54" t="s">
        <v>228</v>
      </c>
      <c r="D116" s="55" t="s">
        <v>417</v>
      </c>
      <c r="E116" s="56" t="s">
        <v>418</v>
      </c>
      <c r="F116" s="54" t="s">
        <v>413</v>
      </c>
      <c r="G116" s="57">
        <v>9</v>
      </c>
      <c r="H116" s="57">
        <v>7.5</v>
      </c>
      <c r="I116" s="64" t="s">
        <v>0</v>
      </c>
      <c r="J116" s="57">
        <v>7</v>
      </c>
      <c r="K116" s="10"/>
      <c r="L116" s="68">
        <v>7.5</v>
      </c>
      <c r="M116" s="69" t="str">
        <f>IFERROR(LOOKUP(INT(L116),Sheet1!$A$2:$A$12,Sheet1!$B$2:$B$12)&amp;" phẩy "&amp;(LOOKUP(ROUND(L116-INT(L116),1)*10,Sheet1!$A$2:$A$12,Sheet1!$C$2:$C$12)),"")</f>
        <v>Bảy phẩy năm</v>
      </c>
      <c r="N116" s="41"/>
      <c r="O116" s="20" t="s">
        <v>0</v>
      </c>
      <c r="P116" s="7">
        <f t="shared" si="0"/>
        <v>3.1</v>
      </c>
      <c r="Q116" s="8" t="str">
        <f t="shared" si="1"/>
        <v/>
      </c>
      <c r="R116" s="39" t="str">
        <f t="shared" si="6"/>
        <v>10</v>
      </c>
      <c r="S116" s="8" t="str">
        <f t="shared" si="3"/>
        <v/>
      </c>
      <c r="T116" s="9" t="s">
        <v>36</v>
      </c>
      <c r="U116" s="27" t="s">
        <v>4</v>
      </c>
      <c r="V116" s="31" t="s">
        <v>576</v>
      </c>
      <c r="W116" s="9" t="s">
        <v>40</v>
      </c>
      <c r="X116" s="9" t="s">
        <v>345</v>
      </c>
      <c r="Y116" s="9" t="s">
        <v>35</v>
      </c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</row>
    <row r="117" spans="1:39" ht="20.25" hidden="1" customHeight="1" x14ac:dyDescent="0.3">
      <c r="A117" s="1">
        <v>691</v>
      </c>
      <c r="B117" s="6">
        <f>IF(LEN(C117=0),SUBTOTAL(3,$C$10:C117),"")</f>
        <v>73</v>
      </c>
      <c r="C117" s="54" t="s">
        <v>179</v>
      </c>
      <c r="D117" s="55" t="s">
        <v>419</v>
      </c>
      <c r="E117" s="56" t="s">
        <v>420</v>
      </c>
      <c r="F117" s="54" t="s">
        <v>366</v>
      </c>
      <c r="G117" s="57">
        <v>9</v>
      </c>
      <c r="H117" s="57">
        <v>8.5</v>
      </c>
      <c r="I117" s="64" t="s">
        <v>0</v>
      </c>
      <c r="J117" s="57">
        <v>7.5</v>
      </c>
      <c r="K117" s="10"/>
      <c r="L117" s="68">
        <v>7</v>
      </c>
      <c r="M117" s="69" t="str">
        <f>IFERROR(LOOKUP(INT(L117),Sheet1!$A$2:$A$12,Sheet1!$B$2:$B$12)&amp;" phẩy "&amp;(LOOKUP(ROUND(L117-INT(L117),1)*10,Sheet1!$A$2:$A$12,Sheet1!$C$2:$C$12)),"")</f>
        <v>Bảy phẩy không</v>
      </c>
      <c r="N117" s="41"/>
      <c r="O117" s="20" t="s">
        <v>0</v>
      </c>
      <c r="P117" s="7">
        <f t="shared" si="0"/>
        <v>3.3</v>
      </c>
      <c r="Q117" s="8" t="str">
        <f t="shared" si="1"/>
        <v/>
      </c>
      <c r="R117" s="39" t="str">
        <f t="shared" si="6"/>
        <v>10</v>
      </c>
      <c r="S117" s="8" t="str">
        <f t="shared" si="3"/>
        <v/>
      </c>
      <c r="T117" s="9" t="s">
        <v>36</v>
      </c>
      <c r="U117" s="27" t="s">
        <v>4</v>
      </c>
      <c r="V117" s="31" t="s">
        <v>576</v>
      </c>
      <c r="W117" s="9" t="s">
        <v>40</v>
      </c>
      <c r="X117" s="9" t="s">
        <v>345</v>
      </c>
      <c r="Y117" s="9" t="s">
        <v>35</v>
      </c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</row>
    <row r="118" spans="1:39" ht="20.25" hidden="1" customHeight="1" x14ac:dyDescent="0.3">
      <c r="A118" s="1">
        <v>692</v>
      </c>
      <c r="B118" s="6">
        <f>IF(LEN(C118=0),SUBTOTAL(3,$C$10:C118),"")</f>
        <v>73</v>
      </c>
      <c r="C118" s="54" t="s">
        <v>240</v>
      </c>
      <c r="D118" s="55" t="s">
        <v>421</v>
      </c>
      <c r="E118" s="56" t="s">
        <v>422</v>
      </c>
      <c r="F118" s="54" t="s">
        <v>359</v>
      </c>
      <c r="G118" s="57">
        <v>10</v>
      </c>
      <c r="H118" s="57">
        <v>8</v>
      </c>
      <c r="I118" s="64" t="s">
        <v>0</v>
      </c>
      <c r="J118" s="57">
        <v>7.5</v>
      </c>
      <c r="K118" s="10"/>
      <c r="L118" s="68">
        <v>8.1999999999999993</v>
      </c>
      <c r="M118" s="69" t="str">
        <f>IFERROR(LOOKUP(INT(L118),Sheet1!$A$2:$A$12,Sheet1!$B$2:$B$12)&amp;" phẩy "&amp;(LOOKUP(ROUND(L118-INT(L118),1)*10,Sheet1!$A$2:$A$12,Sheet1!$C$2:$C$12)),"")</f>
        <v>Tám phẩy hai</v>
      </c>
      <c r="N118" s="41"/>
      <c r="O118" s="20" t="s">
        <v>0</v>
      </c>
      <c r="P118" s="7">
        <f t="shared" si="0"/>
        <v>3.3</v>
      </c>
      <c r="Q118" s="8" t="str">
        <f t="shared" si="1"/>
        <v/>
      </c>
      <c r="R118" s="39" t="str">
        <f t="shared" si="6"/>
        <v>10</v>
      </c>
      <c r="S118" s="8" t="str">
        <f t="shared" si="3"/>
        <v/>
      </c>
      <c r="T118" s="9" t="s">
        <v>36</v>
      </c>
      <c r="U118" s="27" t="s">
        <v>4</v>
      </c>
      <c r="V118" s="31" t="s">
        <v>576</v>
      </c>
      <c r="W118" s="9" t="s">
        <v>40</v>
      </c>
      <c r="X118" s="9" t="s">
        <v>345</v>
      </c>
      <c r="Y118" s="9" t="s">
        <v>35</v>
      </c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</row>
    <row r="119" spans="1:39" ht="20.25" hidden="1" customHeight="1" x14ac:dyDescent="0.3">
      <c r="A119" s="1">
        <v>693</v>
      </c>
      <c r="B119" s="6">
        <f>IF(LEN(C119=0),SUBTOTAL(3,$C$10:C119),"")</f>
        <v>73</v>
      </c>
      <c r="C119" s="54" t="s">
        <v>167</v>
      </c>
      <c r="D119" s="55" t="s">
        <v>423</v>
      </c>
      <c r="E119" s="56" t="s">
        <v>424</v>
      </c>
      <c r="F119" s="54" t="s">
        <v>359</v>
      </c>
      <c r="G119" s="57">
        <v>10</v>
      </c>
      <c r="H119" s="57">
        <v>7.5</v>
      </c>
      <c r="I119" s="64" t="s">
        <v>0</v>
      </c>
      <c r="J119" s="57">
        <v>7.5</v>
      </c>
      <c r="K119" s="10"/>
      <c r="L119" s="68">
        <v>7.5</v>
      </c>
      <c r="M119" s="69" t="str">
        <f>IFERROR(LOOKUP(INT(L119),Sheet1!$A$2:$A$12,Sheet1!$B$2:$B$12)&amp;" phẩy "&amp;(LOOKUP(ROUND(L119-INT(L119),1)*10,Sheet1!$A$2:$A$12,Sheet1!$C$2:$C$12)),"")</f>
        <v>Bảy phẩy năm</v>
      </c>
      <c r="N119" s="41"/>
      <c r="O119" s="20" t="s">
        <v>0</v>
      </c>
      <c r="P119" s="7">
        <f t="shared" si="0"/>
        <v>3.3</v>
      </c>
      <c r="Q119" s="8" t="str">
        <f t="shared" si="1"/>
        <v/>
      </c>
      <c r="R119" s="39" t="str">
        <f t="shared" si="6"/>
        <v>10</v>
      </c>
      <c r="S119" s="8" t="str">
        <f t="shared" si="3"/>
        <v/>
      </c>
      <c r="T119" s="9" t="s">
        <v>36</v>
      </c>
      <c r="U119" s="27" t="s">
        <v>4</v>
      </c>
      <c r="V119" s="31" t="s">
        <v>576</v>
      </c>
      <c r="W119" s="9" t="s">
        <v>40</v>
      </c>
      <c r="X119" s="9" t="s">
        <v>345</v>
      </c>
      <c r="Y119" s="9" t="s">
        <v>35</v>
      </c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</row>
    <row r="120" spans="1:39" ht="20.25" hidden="1" customHeight="1" x14ac:dyDescent="0.3">
      <c r="A120" s="1">
        <v>694</v>
      </c>
      <c r="B120" s="6">
        <f>IF(LEN(C120=0),SUBTOTAL(3,$C$10:C120),"")</f>
        <v>73</v>
      </c>
      <c r="C120" s="54" t="s">
        <v>138</v>
      </c>
      <c r="D120" s="55" t="s">
        <v>425</v>
      </c>
      <c r="E120" s="56" t="s">
        <v>424</v>
      </c>
      <c r="F120" s="54" t="s">
        <v>400</v>
      </c>
      <c r="G120" s="57">
        <v>10</v>
      </c>
      <c r="H120" s="57">
        <v>7.5</v>
      </c>
      <c r="I120" s="64" t="s">
        <v>0</v>
      </c>
      <c r="J120" s="57">
        <v>7</v>
      </c>
      <c r="K120" s="10"/>
      <c r="L120" s="68">
        <v>7.3</v>
      </c>
      <c r="M120" s="69" t="str">
        <f>IFERROR(LOOKUP(INT(L120),Sheet1!$A$2:$A$12,Sheet1!$B$2:$B$12)&amp;" phẩy "&amp;(LOOKUP(ROUND(L120-INT(L120),1)*10,Sheet1!$A$2:$A$12,Sheet1!$C$2:$C$12)),"")</f>
        <v>Bảy phẩy ba</v>
      </c>
      <c r="N120" s="41"/>
      <c r="O120" s="20" t="s">
        <v>0</v>
      </c>
      <c r="P120" s="7">
        <f t="shared" si="0"/>
        <v>3.2</v>
      </c>
      <c r="Q120" s="8" t="str">
        <f t="shared" si="1"/>
        <v/>
      </c>
      <c r="R120" s="39" t="str">
        <f t="shared" si="6"/>
        <v>10</v>
      </c>
      <c r="S120" s="8" t="str">
        <f t="shared" si="3"/>
        <v/>
      </c>
      <c r="T120" s="9" t="s">
        <v>1</v>
      </c>
      <c r="U120" s="27" t="s">
        <v>4</v>
      </c>
      <c r="V120" s="31" t="s">
        <v>576</v>
      </c>
      <c r="W120" s="9" t="s">
        <v>41</v>
      </c>
      <c r="X120" s="9" t="s">
        <v>345</v>
      </c>
      <c r="Y120" s="9" t="s">
        <v>35</v>
      </c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</row>
    <row r="121" spans="1:39" ht="20.25" hidden="1" customHeight="1" x14ac:dyDescent="0.3">
      <c r="A121" s="1">
        <v>695</v>
      </c>
      <c r="B121" s="6">
        <f>IF(LEN(C121=0),SUBTOTAL(3,$C$10:C121),"")</f>
        <v>73</v>
      </c>
      <c r="C121" s="54" t="s">
        <v>129</v>
      </c>
      <c r="D121" s="55" t="s">
        <v>426</v>
      </c>
      <c r="E121" s="56" t="s">
        <v>424</v>
      </c>
      <c r="F121" s="54" t="s">
        <v>364</v>
      </c>
      <c r="G121" s="57">
        <v>9</v>
      </c>
      <c r="H121" s="57">
        <v>8</v>
      </c>
      <c r="I121" s="64" t="s">
        <v>0</v>
      </c>
      <c r="J121" s="57">
        <v>8.5</v>
      </c>
      <c r="K121" s="10"/>
      <c r="L121" s="68">
        <v>8.1999999999999993</v>
      </c>
      <c r="M121" s="69" t="str">
        <f>IFERROR(LOOKUP(INT(L121),Sheet1!$A$2:$A$12,Sheet1!$B$2:$B$12)&amp;" phẩy "&amp;(LOOKUP(ROUND(L121-INT(L121),1)*10,Sheet1!$A$2:$A$12,Sheet1!$C$2:$C$12)),"")</f>
        <v>Tám phẩy hai</v>
      </c>
      <c r="N121" s="41"/>
      <c r="O121" s="20" t="s">
        <v>0</v>
      </c>
      <c r="P121" s="7">
        <f t="shared" si="0"/>
        <v>3.4</v>
      </c>
      <c r="Q121" s="8" t="str">
        <f t="shared" si="1"/>
        <v/>
      </c>
      <c r="R121" s="39" t="str">
        <f t="shared" si="6"/>
        <v>10</v>
      </c>
      <c r="S121" s="8" t="str">
        <f t="shared" si="3"/>
        <v/>
      </c>
      <c r="T121" s="9" t="s">
        <v>1</v>
      </c>
      <c r="U121" s="27" t="s">
        <v>4</v>
      </c>
      <c r="V121" s="31" t="s">
        <v>576</v>
      </c>
      <c r="W121" s="9" t="s">
        <v>41</v>
      </c>
      <c r="X121" s="9" t="s">
        <v>345</v>
      </c>
      <c r="Y121" s="9" t="s">
        <v>35</v>
      </c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</row>
    <row r="122" spans="1:39" ht="20.25" hidden="1" customHeight="1" x14ac:dyDescent="0.3">
      <c r="A122" s="1">
        <v>696</v>
      </c>
      <c r="B122" s="6">
        <f>IF(LEN(C122=0),SUBTOTAL(3,$C$10:C122),"")</f>
        <v>73</v>
      </c>
      <c r="C122" s="54" t="s">
        <v>121</v>
      </c>
      <c r="D122" s="55" t="s">
        <v>427</v>
      </c>
      <c r="E122" s="56" t="s">
        <v>428</v>
      </c>
      <c r="F122" s="54" t="s">
        <v>354</v>
      </c>
      <c r="G122" s="57">
        <v>9</v>
      </c>
      <c r="H122" s="57">
        <v>8.5</v>
      </c>
      <c r="I122" s="64" t="s">
        <v>0</v>
      </c>
      <c r="J122" s="57">
        <v>8.5</v>
      </c>
      <c r="K122" s="10"/>
      <c r="L122" s="68">
        <v>7.5</v>
      </c>
      <c r="M122" s="69" t="str">
        <f>IFERROR(LOOKUP(INT(L122),Sheet1!$A$2:$A$12,Sheet1!$B$2:$B$12)&amp;" phẩy "&amp;(LOOKUP(ROUND(L122-INT(L122),1)*10,Sheet1!$A$2:$A$12,Sheet1!$C$2:$C$12)),"")</f>
        <v>Bảy phẩy năm</v>
      </c>
      <c r="N122" s="41"/>
      <c r="O122" s="20" t="s">
        <v>0</v>
      </c>
      <c r="P122" s="7">
        <f t="shared" si="0"/>
        <v>3.5</v>
      </c>
      <c r="Q122" s="8" t="str">
        <f t="shared" si="1"/>
        <v/>
      </c>
      <c r="R122" s="39" t="str">
        <f t="shared" si="6"/>
        <v>10</v>
      </c>
      <c r="S122" s="8" t="str">
        <f t="shared" si="3"/>
        <v/>
      </c>
      <c r="T122" s="9" t="s">
        <v>1</v>
      </c>
      <c r="U122" s="27" t="s">
        <v>4</v>
      </c>
      <c r="V122" s="31" t="s">
        <v>576</v>
      </c>
      <c r="W122" s="9" t="s">
        <v>41</v>
      </c>
      <c r="X122" s="9" t="s">
        <v>345</v>
      </c>
      <c r="Y122" s="9" t="s">
        <v>35</v>
      </c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</row>
    <row r="123" spans="1:39" ht="20.25" hidden="1" customHeight="1" x14ac:dyDescent="0.3">
      <c r="A123" s="1">
        <v>697</v>
      </c>
      <c r="B123" s="6">
        <f>IF(LEN(C123=0),SUBTOTAL(3,$C$10:C123),"")</f>
        <v>73</v>
      </c>
      <c r="C123" s="54" t="s">
        <v>122</v>
      </c>
      <c r="D123" s="55" t="s">
        <v>429</v>
      </c>
      <c r="E123" s="56" t="s">
        <v>428</v>
      </c>
      <c r="F123" s="54" t="s">
        <v>366</v>
      </c>
      <c r="G123" s="57">
        <v>10</v>
      </c>
      <c r="H123" s="57">
        <v>8.5</v>
      </c>
      <c r="I123" s="64" t="s">
        <v>0</v>
      </c>
      <c r="J123" s="57">
        <v>8.5</v>
      </c>
      <c r="K123" s="10"/>
      <c r="L123" s="68">
        <v>8.3000000000000007</v>
      </c>
      <c r="M123" s="69" t="str">
        <f>IFERROR(LOOKUP(INT(L123),Sheet1!$A$2:$A$12,Sheet1!$B$2:$B$12)&amp;" phẩy "&amp;(LOOKUP(ROUND(L123-INT(L123),1)*10,Sheet1!$A$2:$A$12,Sheet1!$C$2:$C$12)),"")</f>
        <v>Tám phẩy ba</v>
      </c>
      <c r="N123" s="41"/>
      <c r="O123" s="20" t="s">
        <v>0</v>
      </c>
      <c r="P123" s="7">
        <f t="shared" si="0"/>
        <v>3.6</v>
      </c>
      <c r="Q123" s="8" t="str">
        <f t="shared" si="1"/>
        <v/>
      </c>
      <c r="R123" s="39" t="str">
        <f t="shared" si="6"/>
        <v>10</v>
      </c>
      <c r="S123" s="8" t="str">
        <f t="shared" si="3"/>
        <v/>
      </c>
      <c r="T123" s="9" t="s">
        <v>1</v>
      </c>
      <c r="U123" s="27" t="s">
        <v>4</v>
      </c>
      <c r="V123" s="31" t="s">
        <v>576</v>
      </c>
      <c r="W123" s="9" t="s">
        <v>41</v>
      </c>
      <c r="X123" s="9" t="s">
        <v>345</v>
      </c>
      <c r="Y123" s="9" t="s">
        <v>35</v>
      </c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</row>
    <row r="124" spans="1:39" ht="20.25" hidden="1" customHeight="1" x14ac:dyDescent="0.3">
      <c r="A124" s="1">
        <v>698</v>
      </c>
      <c r="B124" s="6">
        <f>IF(LEN(C124=0),SUBTOTAL(3,$C$10:C124),"")</f>
        <v>73</v>
      </c>
      <c r="C124" s="54" t="s">
        <v>208</v>
      </c>
      <c r="D124" s="55" t="s">
        <v>430</v>
      </c>
      <c r="E124" s="56" t="s">
        <v>431</v>
      </c>
      <c r="F124" s="54" t="s">
        <v>372</v>
      </c>
      <c r="G124" s="57">
        <v>10</v>
      </c>
      <c r="H124" s="57">
        <v>8.5</v>
      </c>
      <c r="I124" s="64" t="s">
        <v>0</v>
      </c>
      <c r="J124" s="57">
        <v>8.5</v>
      </c>
      <c r="K124" s="10"/>
      <c r="L124" s="68">
        <v>6.8</v>
      </c>
      <c r="M124" s="69" t="str">
        <f>IFERROR(LOOKUP(INT(L124),Sheet1!$A$2:$A$12,Sheet1!$B$2:$B$12)&amp;" phẩy "&amp;(LOOKUP(ROUND(L124-INT(L124),1)*10,Sheet1!$A$2:$A$12,Sheet1!$C$2:$C$12)),"")</f>
        <v>Sáu phẩy tám</v>
      </c>
      <c r="N124" s="41"/>
      <c r="O124" s="20" t="s">
        <v>0</v>
      </c>
      <c r="P124" s="7">
        <f t="shared" si="0"/>
        <v>3.6</v>
      </c>
      <c r="Q124" s="8" t="str">
        <f t="shared" si="1"/>
        <v/>
      </c>
      <c r="R124" s="39" t="str">
        <f t="shared" si="6"/>
        <v>10</v>
      </c>
      <c r="S124" s="8" t="str">
        <f t="shared" si="3"/>
        <v/>
      </c>
      <c r="T124" s="9" t="s">
        <v>1</v>
      </c>
      <c r="U124" s="27" t="s">
        <v>4</v>
      </c>
      <c r="V124" s="31" t="s">
        <v>576</v>
      </c>
      <c r="W124" s="9" t="s">
        <v>41</v>
      </c>
      <c r="X124" s="9" t="s">
        <v>345</v>
      </c>
      <c r="Y124" s="9" t="s">
        <v>35</v>
      </c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</row>
    <row r="125" spans="1:39" ht="20.25" hidden="1" customHeight="1" x14ac:dyDescent="0.3">
      <c r="A125" s="1">
        <v>699</v>
      </c>
      <c r="B125" s="6">
        <f>IF(LEN(C125=0),SUBTOTAL(3,$C$10:C125),"")</f>
        <v>73</v>
      </c>
      <c r="C125" s="54" t="s">
        <v>95</v>
      </c>
      <c r="D125" s="55" t="s">
        <v>432</v>
      </c>
      <c r="E125" s="56" t="s">
        <v>433</v>
      </c>
      <c r="F125" s="54" t="s">
        <v>356</v>
      </c>
      <c r="G125" s="57">
        <v>10</v>
      </c>
      <c r="H125" s="57">
        <v>8.5</v>
      </c>
      <c r="I125" s="64" t="s">
        <v>0</v>
      </c>
      <c r="J125" s="57">
        <v>8.5</v>
      </c>
      <c r="K125" s="10"/>
      <c r="L125" s="68">
        <v>6.3</v>
      </c>
      <c r="M125" s="69" t="str">
        <f>IFERROR(LOOKUP(INT(L125),Sheet1!$A$2:$A$12,Sheet1!$B$2:$B$12)&amp;" phẩy "&amp;(LOOKUP(ROUND(L125-INT(L125),1)*10,Sheet1!$A$2:$A$12,Sheet1!$C$2:$C$12)),"")</f>
        <v>Sáu phẩy ba</v>
      </c>
      <c r="N125" s="41"/>
      <c r="O125" s="20" t="s">
        <v>0</v>
      </c>
      <c r="P125" s="7">
        <f t="shared" si="0"/>
        <v>3.6</v>
      </c>
      <c r="Q125" s="8" t="str">
        <f t="shared" si="1"/>
        <v/>
      </c>
      <c r="R125" s="39" t="str">
        <f t="shared" si="6"/>
        <v>10</v>
      </c>
      <c r="S125" s="8" t="str">
        <f t="shared" si="3"/>
        <v/>
      </c>
      <c r="T125" s="9" t="s">
        <v>1</v>
      </c>
      <c r="U125" s="27" t="s">
        <v>4</v>
      </c>
      <c r="V125" s="31" t="s">
        <v>576</v>
      </c>
      <c r="W125" s="9" t="s">
        <v>41</v>
      </c>
      <c r="X125" s="9" t="s">
        <v>345</v>
      </c>
      <c r="Y125" s="9" t="s">
        <v>35</v>
      </c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</row>
    <row r="126" spans="1:39" ht="20.25" hidden="1" customHeight="1" x14ac:dyDescent="0.3">
      <c r="A126" s="1">
        <v>700</v>
      </c>
      <c r="B126" s="6">
        <f>IF(LEN(C126=0),SUBTOTAL(3,$C$10:C126),"")</f>
        <v>73</v>
      </c>
      <c r="C126" s="54" t="s">
        <v>104</v>
      </c>
      <c r="D126" s="55" t="s">
        <v>434</v>
      </c>
      <c r="E126" s="56" t="s">
        <v>435</v>
      </c>
      <c r="F126" s="54" t="s">
        <v>354</v>
      </c>
      <c r="G126" s="57">
        <v>10</v>
      </c>
      <c r="H126" s="57">
        <v>8</v>
      </c>
      <c r="I126" s="64" t="s">
        <v>0</v>
      </c>
      <c r="J126" s="57">
        <v>8.5</v>
      </c>
      <c r="K126" s="10"/>
      <c r="L126" s="68">
        <v>4.5</v>
      </c>
      <c r="M126" s="69" t="str">
        <f>IFERROR(LOOKUP(INT(L126),Sheet1!$A$2:$A$12,Sheet1!$B$2:$B$12)&amp;" phẩy "&amp;(LOOKUP(ROUND(L126-INT(L126),1)*10,Sheet1!$A$2:$A$12,Sheet1!$C$2:$C$12)),"")</f>
        <v>Bốn phẩy năm</v>
      </c>
      <c r="N126" s="41"/>
      <c r="O126" s="20" t="s">
        <v>0</v>
      </c>
      <c r="P126" s="7">
        <f t="shared" si="0"/>
        <v>3.5</v>
      </c>
      <c r="Q126" s="8" t="str">
        <f t="shared" si="1"/>
        <v/>
      </c>
      <c r="R126" s="39" t="str">
        <f t="shared" si="6"/>
        <v>10</v>
      </c>
      <c r="S126" s="8" t="str">
        <f t="shared" si="3"/>
        <v/>
      </c>
      <c r="T126" s="9" t="s">
        <v>1</v>
      </c>
      <c r="U126" s="27" t="s">
        <v>4</v>
      </c>
      <c r="V126" s="31" t="s">
        <v>576</v>
      </c>
      <c r="W126" s="9" t="s">
        <v>41</v>
      </c>
      <c r="X126" s="9" t="s">
        <v>345</v>
      </c>
      <c r="Y126" s="9" t="s">
        <v>35</v>
      </c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</row>
    <row r="127" spans="1:39" ht="20.25" hidden="1" customHeight="1" x14ac:dyDescent="0.3">
      <c r="A127" s="1">
        <v>701</v>
      </c>
      <c r="B127" s="6">
        <f>IF(LEN(C127=0),SUBTOTAL(3,$C$10:C127),"")</f>
        <v>73</v>
      </c>
      <c r="C127" s="54" t="s">
        <v>210</v>
      </c>
      <c r="D127" s="55" t="s">
        <v>436</v>
      </c>
      <c r="E127" s="56" t="s">
        <v>437</v>
      </c>
      <c r="F127" s="54" t="s">
        <v>372</v>
      </c>
      <c r="G127" s="57">
        <v>10</v>
      </c>
      <c r="H127" s="57">
        <v>8.5</v>
      </c>
      <c r="I127" s="64" t="s">
        <v>0</v>
      </c>
      <c r="J127" s="57">
        <v>8.5</v>
      </c>
      <c r="K127" s="10"/>
      <c r="L127" s="68">
        <v>7.2</v>
      </c>
      <c r="M127" s="69" t="str">
        <f>IFERROR(LOOKUP(INT(L127),Sheet1!$A$2:$A$12,Sheet1!$B$2:$B$12)&amp;" phẩy "&amp;(LOOKUP(ROUND(L127-INT(L127),1)*10,Sheet1!$A$2:$A$12,Sheet1!$C$2:$C$12)),"")</f>
        <v>Bảy phẩy hai</v>
      </c>
      <c r="N127" s="41"/>
      <c r="O127" s="20" t="s">
        <v>0</v>
      </c>
      <c r="P127" s="7">
        <f t="shared" si="0"/>
        <v>3.6</v>
      </c>
      <c r="Q127" s="8" t="str">
        <f t="shared" si="1"/>
        <v/>
      </c>
      <c r="R127" s="39" t="str">
        <f t="shared" si="6"/>
        <v>10</v>
      </c>
      <c r="S127" s="8" t="str">
        <f t="shared" si="3"/>
        <v/>
      </c>
      <c r="T127" s="9" t="s">
        <v>1</v>
      </c>
      <c r="U127" s="27" t="s">
        <v>4</v>
      </c>
      <c r="V127" s="31" t="s">
        <v>576</v>
      </c>
      <c r="W127" s="9" t="s">
        <v>41</v>
      </c>
      <c r="X127" s="9" t="s">
        <v>345</v>
      </c>
      <c r="Y127" s="9" t="s">
        <v>35</v>
      </c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</row>
    <row r="128" spans="1:39" ht="20.25" hidden="1" customHeight="1" x14ac:dyDescent="0.3">
      <c r="A128" s="1">
        <v>702</v>
      </c>
      <c r="B128" s="6">
        <f>IF(LEN(C128=0),SUBTOTAL(3,$C$10:C128),"")</f>
        <v>73</v>
      </c>
      <c r="C128" s="54" t="s">
        <v>105</v>
      </c>
      <c r="D128" s="55" t="s">
        <v>438</v>
      </c>
      <c r="E128" s="56" t="s">
        <v>439</v>
      </c>
      <c r="F128" s="54" t="s">
        <v>356</v>
      </c>
      <c r="G128" s="57">
        <v>8</v>
      </c>
      <c r="H128" s="57">
        <v>8.5</v>
      </c>
      <c r="I128" s="64" t="s">
        <v>0</v>
      </c>
      <c r="J128" s="57">
        <v>8.5</v>
      </c>
      <c r="K128" s="10"/>
      <c r="L128" s="68">
        <v>8.8000000000000007</v>
      </c>
      <c r="M128" s="69" t="str">
        <f>IFERROR(LOOKUP(INT(L128),Sheet1!$A$2:$A$12,Sheet1!$B$2:$B$12)&amp;" phẩy "&amp;(LOOKUP(ROUND(L128-INT(L128),1)*10,Sheet1!$A$2:$A$12,Sheet1!$C$2:$C$12)),"")</f>
        <v>Tám phẩy tám</v>
      </c>
      <c r="N128" s="41"/>
      <c r="O128" s="20" t="s">
        <v>0</v>
      </c>
      <c r="P128" s="7">
        <f t="shared" si="0"/>
        <v>3.4</v>
      </c>
      <c r="Q128" s="8" t="str">
        <f t="shared" si="1"/>
        <v/>
      </c>
      <c r="R128" s="39" t="str">
        <f t="shared" si="6"/>
        <v>10</v>
      </c>
      <c r="S128" s="8" t="str">
        <f t="shared" si="3"/>
        <v/>
      </c>
      <c r="T128" s="9" t="s">
        <v>1</v>
      </c>
      <c r="U128" s="27" t="s">
        <v>4</v>
      </c>
      <c r="V128" s="31" t="s">
        <v>576</v>
      </c>
      <c r="W128" s="9" t="s">
        <v>41</v>
      </c>
      <c r="X128" s="9" t="s">
        <v>345</v>
      </c>
      <c r="Y128" s="9" t="s">
        <v>35</v>
      </c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</row>
    <row r="129" spans="1:39" ht="20.25" hidden="1" customHeight="1" x14ac:dyDescent="0.3">
      <c r="A129" s="1">
        <v>703</v>
      </c>
      <c r="B129" s="6">
        <f>IF(LEN(C129=0),SUBTOTAL(3,$C$10:C129),"")</f>
        <v>73</v>
      </c>
      <c r="C129" s="54" t="s">
        <v>116</v>
      </c>
      <c r="D129" s="55" t="s">
        <v>440</v>
      </c>
      <c r="E129" s="56" t="s">
        <v>441</v>
      </c>
      <c r="F129" s="54" t="s">
        <v>359</v>
      </c>
      <c r="G129" s="57">
        <v>9.5</v>
      </c>
      <c r="H129" s="57">
        <v>7.5</v>
      </c>
      <c r="I129" s="64" t="s">
        <v>0</v>
      </c>
      <c r="J129" s="57">
        <v>7.5</v>
      </c>
      <c r="K129" s="10"/>
      <c r="L129" s="68">
        <v>6.5</v>
      </c>
      <c r="M129" s="69" t="str">
        <f>IFERROR(LOOKUP(INT(L129),Sheet1!$A$2:$A$12,Sheet1!$B$2:$B$12)&amp;" phẩy "&amp;(LOOKUP(ROUND(L129-INT(L129),1)*10,Sheet1!$A$2:$A$12,Sheet1!$C$2:$C$12)),"")</f>
        <v>Sáu phẩy năm</v>
      </c>
      <c r="N129" s="41"/>
      <c r="O129" s="20" t="s">
        <v>0</v>
      </c>
      <c r="P129" s="7">
        <f t="shared" ref="P129:P155" si="8">IF(O129="H","I",IF(OR(O129="DC",O129="C",O129="V"),0,ROUND(SUMPRODUCT(G129:O129,$G$9:$O$9)/100,1)))</f>
        <v>3.2</v>
      </c>
      <c r="Q129" s="8" t="str">
        <f t="shared" ref="Q129:Q155" si="9">IF(OR($G129=0,$H129=0,$I129=0,$J129=0,$S129="Nợ HP"),"Không đủ ĐKDT",IF(AND(O129=0,P129&gt;=4),"Không đạt",IF(O129="V", "Vắng", IF(O129="DC", "Đình chỉ thi",IF(O129="H", "Vắng có phép","")))))</f>
        <v/>
      </c>
      <c r="R129" s="39" t="str">
        <f t="shared" si="6"/>
        <v>10</v>
      </c>
      <c r="S129" s="8" t="str">
        <f t="shared" ref="S129:S155" si="10">IFERROR(VLOOKUP($C129,HP,2,0),"")</f>
        <v/>
      </c>
      <c r="T129" s="9" t="s">
        <v>1</v>
      </c>
      <c r="U129" s="27" t="s">
        <v>4</v>
      </c>
      <c r="V129" s="31" t="s">
        <v>576</v>
      </c>
      <c r="W129" s="9" t="s">
        <v>41</v>
      </c>
      <c r="X129" s="9" t="s">
        <v>345</v>
      </c>
      <c r="Y129" s="9" t="s">
        <v>35</v>
      </c>
      <c r="Z129" s="14"/>
      <c r="AA129" s="30"/>
      <c r="AB129" s="13"/>
      <c r="AC129" s="13"/>
      <c r="AD129" s="13"/>
      <c r="AE129" s="15"/>
      <c r="AF129" s="13"/>
      <c r="AG129" s="16"/>
      <c r="AH129" s="17"/>
      <c r="AI129" s="16"/>
      <c r="AJ129" s="17"/>
      <c r="AK129" s="16"/>
      <c r="AL129" s="13"/>
      <c r="AM129" s="15"/>
    </row>
    <row r="130" spans="1:39" ht="20.25" hidden="1" customHeight="1" x14ac:dyDescent="0.3">
      <c r="A130" s="1">
        <v>704</v>
      </c>
      <c r="B130" s="6">
        <f>IF(LEN(C130=0),SUBTOTAL(3,$C$10:C130),"")</f>
        <v>73</v>
      </c>
      <c r="C130" s="54" t="s">
        <v>202</v>
      </c>
      <c r="D130" s="55" t="s">
        <v>442</v>
      </c>
      <c r="E130" s="56" t="s">
        <v>443</v>
      </c>
      <c r="F130" s="54" t="s">
        <v>413</v>
      </c>
      <c r="G130" s="57">
        <v>8</v>
      </c>
      <c r="H130" s="57">
        <v>8.5</v>
      </c>
      <c r="I130" s="64" t="s">
        <v>0</v>
      </c>
      <c r="J130" s="57">
        <v>8.5</v>
      </c>
      <c r="K130" s="10"/>
      <c r="L130" s="68">
        <v>7.5</v>
      </c>
      <c r="M130" s="69" t="str">
        <f>IFERROR(LOOKUP(INT(L130),Sheet1!$A$2:$A$12,Sheet1!$B$2:$B$12)&amp;" phẩy "&amp;(LOOKUP(ROUND(L130-INT(L130),1)*10,Sheet1!$A$2:$A$12,Sheet1!$C$2:$C$12)),"")</f>
        <v>Bảy phẩy năm</v>
      </c>
      <c r="N130" s="41"/>
      <c r="O130" s="20" t="s">
        <v>0</v>
      </c>
      <c r="P130" s="7">
        <f t="shared" si="8"/>
        <v>3.4</v>
      </c>
      <c r="Q130" s="8" t="str">
        <f t="shared" si="9"/>
        <v/>
      </c>
      <c r="R130" s="39" t="str">
        <f t="shared" si="6"/>
        <v>10</v>
      </c>
      <c r="S130" s="8" t="str">
        <f t="shared" si="10"/>
        <v/>
      </c>
      <c r="T130" s="9" t="s">
        <v>1</v>
      </c>
      <c r="U130" s="27" t="s">
        <v>4</v>
      </c>
      <c r="V130" s="31" t="s">
        <v>576</v>
      </c>
      <c r="W130" s="9" t="s">
        <v>41</v>
      </c>
      <c r="X130" s="9" t="s">
        <v>345</v>
      </c>
      <c r="Y130" s="9" t="s">
        <v>35</v>
      </c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</row>
    <row r="131" spans="1:39" ht="20.25" hidden="1" customHeight="1" x14ac:dyDescent="0.3">
      <c r="A131" s="1">
        <v>705</v>
      </c>
      <c r="B131" s="6">
        <f>IF(LEN(C131=0),SUBTOTAL(3,$C$10:C131),"")</f>
        <v>73</v>
      </c>
      <c r="C131" s="54" t="s">
        <v>264</v>
      </c>
      <c r="D131" s="55" t="s">
        <v>444</v>
      </c>
      <c r="E131" s="56" t="s">
        <v>445</v>
      </c>
      <c r="F131" s="54" t="s">
        <v>359</v>
      </c>
      <c r="G131" s="57">
        <v>9</v>
      </c>
      <c r="H131" s="57">
        <v>8</v>
      </c>
      <c r="I131" s="64" t="s">
        <v>0</v>
      </c>
      <c r="J131" s="57">
        <v>8.5</v>
      </c>
      <c r="K131" s="10"/>
      <c r="L131" s="68">
        <v>8.1999999999999993</v>
      </c>
      <c r="M131" s="69" t="str">
        <f>IFERROR(LOOKUP(INT(L131),Sheet1!$A$2:$A$12,Sheet1!$B$2:$B$12)&amp;" phẩy "&amp;(LOOKUP(ROUND(L131-INT(L131),1)*10,Sheet1!$A$2:$A$12,Sheet1!$C$2:$C$12)),"")</f>
        <v>Tám phẩy hai</v>
      </c>
      <c r="N131" s="41"/>
      <c r="O131" s="20" t="s">
        <v>0</v>
      </c>
      <c r="P131" s="7">
        <f t="shared" si="8"/>
        <v>3.4</v>
      </c>
      <c r="Q131" s="8" t="str">
        <f t="shared" si="9"/>
        <v/>
      </c>
      <c r="R131" s="39" t="str">
        <f t="shared" si="6"/>
        <v>10</v>
      </c>
      <c r="S131" s="8" t="str">
        <f t="shared" si="10"/>
        <v/>
      </c>
      <c r="T131" s="9" t="s">
        <v>1</v>
      </c>
      <c r="U131" s="27" t="s">
        <v>4</v>
      </c>
      <c r="V131" s="31" t="s">
        <v>576</v>
      </c>
      <c r="W131" s="9" t="s">
        <v>41</v>
      </c>
      <c r="X131" s="9" t="s">
        <v>345</v>
      </c>
      <c r="Y131" s="9" t="s">
        <v>35</v>
      </c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</row>
    <row r="132" spans="1:39" ht="20.25" hidden="1" customHeight="1" x14ac:dyDescent="0.3">
      <c r="A132" s="1">
        <v>706</v>
      </c>
      <c r="B132" s="6">
        <f>IF(LEN(C132=0),SUBTOTAL(3,$C$10:C132),"")</f>
        <v>73</v>
      </c>
      <c r="C132" s="54" t="s">
        <v>109</v>
      </c>
      <c r="D132" s="55" t="s">
        <v>446</v>
      </c>
      <c r="E132" s="56" t="s">
        <v>447</v>
      </c>
      <c r="F132" s="54" t="s">
        <v>356</v>
      </c>
      <c r="G132" s="57">
        <v>7</v>
      </c>
      <c r="H132" s="57">
        <v>8.5</v>
      </c>
      <c r="I132" s="64" t="s">
        <v>0</v>
      </c>
      <c r="J132" s="57">
        <v>8.5</v>
      </c>
      <c r="K132" s="10"/>
      <c r="L132" s="68">
        <v>7.3</v>
      </c>
      <c r="M132" s="69" t="str">
        <f>IFERROR(LOOKUP(INT(L132),Sheet1!$A$2:$A$12,Sheet1!$B$2:$B$12)&amp;" phẩy "&amp;(LOOKUP(ROUND(L132-INT(L132),1)*10,Sheet1!$A$2:$A$12,Sheet1!$C$2:$C$12)),"")</f>
        <v>Bảy phẩy ba</v>
      </c>
      <c r="N132" s="41"/>
      <c r="O132" s="20" t="s">
        <v>0</v>
      </c>
      <c r="P132" s="7">
        <f t="shared" si="8"/>
        <v>3.3</v>
      </c>
      <c r="Q132" s="8" t="str">
        <f t="shared" si="9"/>
        <v/>
      </c>
      <c r="R132" s="39" t="str">
        <f t="shared" ref="R132:R155" si="11">LEFT(V132,2)</f>
        <v>10</v>
      </c>
      <c r="S132" s="8" t="str">
        <f t="shared" si="10"/>
        <v/>
      </c>
      <c r="T132" s="9" t="s">
        <v>1</v>
      </c>
      <c r="U132" s="27" t="s">
        <v>4</v>
      </c>
      <c r="V132" s="31" t="s">
        <v>576</v>
      </c>
      <c r="W132" s="9" t="s">
        <v>41</v>
      </c>
      <c r="X132" s="9" t="s">
        <v>345</v>
      </c>
      <c r="Y132" s="9" t="s">
        <v>35</v>
      </c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</row>
    <row r="133" spans="1:39" ht="20.25" hidden="1" customHeight="1" x14ac:dyDescent="0.3">
      <c r="A133" s="1">
        <v>707</v>
      </c>
      <c r="B133" s="6">
        <f>IF(LEN(C133=0),SUBTOTAL(3,$C$10:C133),"")</f>
        <v>73</v>
      </c>
      <c r="C133" s="54" t="s">
        <v>143</v>
      </c>
      <c r="D133" s="55" t="s">
        <v>448</v>
      </c>
      <c r="E133" s="56" t="s">
        <v>447</v>
      </c>
      <c r="F133" s="54" t="s">
        <v>369</v>
      </c>
      <c r="G133" s="57">
        <v>6</v>
      </c>
      <c r="H133" s="57">
        <v>8</v>
      </c>
      <c r="I133" s="64" t="s">
        <v>0</v>
      </c>
      <c r="J133" s="57">
        <v>7.5</v>
      </c>
      <c r="K133" s="10"/>
      <c r="L133" s="68">
        <v>7.3</v>
      </c>
      <c r="M133" s="69" t="str">
        <f>IFERROR(LOOKUP(INT(L133),Sheet1!$A$2:$A$12,Sheet1!$B$2:$B$12)&amp;" phẩy "&amp;(LOOKUP(ROUND(L133-INT(L133),1)*10,Sheet1!$A$2:$A$12,Sheet1!$C$2:$C$12)),"")</f>
        <v>Bảy phẩy ba</v>
      </c>
      <c r="N133" s="41"/>
      <c r="O133" s="20" t="s">
        <v>0</v>
      </c>
      <c r="P133" s="7">
        <f t="shared" si="8"/>
        <v>2.9</v>
      </c>
      <c r="Q133" s="8" t="str">
        <f t="shared" si="9"/>
        <v/>
      </c>
      <c r="R133" s="39" t="str">
        <f t="shared" si="11"/>
        <v>10</v>
      </c>
      <c r="S133" s="8" t="str">
        <f t="shared" si="10"/>
        <v/>
      </c>
      <c r="T133" s="9" t="s">
        <v>1</v>
      </c>
      <c r="U133" s="27" t="s">
        <v>4</v>
      </c>
      <c r="V133" s="31" t="s">
        <v>576</v>
      </c>
      <c r="W133" s="9" t="s">
        <v>41</v>
      </c>
      <c r="X133" s="9" t="s">
        <v>345</v>
      </c>
      <c r="Y133" s="9" t="s">
        <v>35</v>
      </c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</row>
    <row r="134" spans="1:39" ht="20.25" hidden="1" customHeight="1" x14ac:dyDescent="0.3">
      <c r="A134" s="1">
        <v>708</v>
      </c>
      <c r="B134" s="6">
        <f>IF(LEN(C134=0),SUBTOTAL(3,$C$10:C134),"")</f>
        <v>73</v>
      </c>
      <c r="C134" s="54" t="s">
        <v>106</v>
      </c>
      <c r="D134" s="55" t="s">
        <v>405</v>
      </c>
      <c r="E134" s="56" t="s">
        <v>447</v>
      </c>
      <c r="F134" s="54" t="s">
        <v>364</v>
      </c>
      <c r="G134" s="57">
        <v>9</v>
      </c>
      <c r="H134" s="57">
        <v>8</v>
      </c>
      <c r="I134" s="64" t="s">
        <v>0</v>
      </c>
      <c r="J134" s="57">
        <v>7.5</v>
      </c>
      <c r="K134" s="10"/>
      <c r="L134" s="68">
        <v>9.1999999999999993</v>
      </c>
      <c r="M134" s="69" t="str">
        <f>IFERROR(LOOKUP(INT(L134),Sheet1!$A$2:$A$12,Sheet1!$B$2:$B$12)&amp;" phẩy "&amp;(LOOKUP(ROUND(L134-INT(L134),1)*10,Sheet1!$A$2:$A$12,Sheet1!$C$2:$C$12)),"")</f>
        <v>Chín phẩy hai</v>
      </c>
      <c r="N134" s="41"/>
      <c r="O134" s="20" t="s">
        <v>0</v>
      </c>
      <c r="P134" s="7">
        <f t="shared" si="8"/>
        <v>3.2</v>
      </c>
      <c r="Q134" s="8" t="str">
        <f t="shared" si="9"/>
        <v/>
      </c>
      <c r="R134" s="39" t="str">
        <f t="shared" si="11"/>
        <v>10</v>
      </c>
      <c r="S134" s="8" t="str">
        <f t="shared" si="10"/>
        <v/>
      </c>
      <c r="T134" s="9" t="s">
        <v>1</v>
      </c>
      <c r="U134" s="27" t="s">
        <v>4</v>
      </c>
      <c r="V134" s="31" t="s">
        <v>576</v>
      </c>
      <c r="W134" s="9" t="s">
        <v>41</v>
      </c>
      <c r="X134" s="9" t="s">
        <v>345</v>
      </c>
      <c r="Y134" s="9" t="s">
        <v>35</v>
      </c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</row>
    <row r="135" spans="1:39" ht="20.25" hidden="1" customHeight="1" x14ac:dyDescent="0.3">
      <c r="A135" s="1">
        <v>709</v>
      </c>
      <c r="B135" s="6">
        <f>IF(LEN(C135=0),SUBTOTAL(3,$C$10:C135),"")</f>
        <v>73</v>
      </c>
      <c r="C135" s="54" t="s">
        <v>265</v>
      </c>
      <c r="D135" s="55" t="s">
        <v>449</v>
      </c>
      <c r="E135" s="56" t="s">
        <v>450</v>
      </c>
      <c r="F135" s="54" t="s">
        <v>364</v>
      </c>
      <c r="G135" s="57">
        <v>8</v>
      </c>
      <c r="H135" s="57">
        <v>8</v>
      </c>
      <c r="I135" s="64" t="s">
        <v>0</v>
      </c>
      <c r="J135" s="57">
        <v>8.5</v>
      </c>
      <c r="K135" s="10"/>
      <c r="L135" s="68">
        <v>4.7</v>
      </c>
      <c r="M135" s="69" t="str">
        <f>IFERROR(LOOKUP(INT(L135),Sheet1!$A$2:$A$12,Sheet1!$B$2:$B$12)&amp;" phẩy "&amp;(LOOKUP(ROUND(L135-INT(L135),1)*10,Sheet1!$A$2:$A$12,Sheet1!$C$2:$C$12)),"")</f>
        <v>Bốn phẩy bảy</v>
      </c>
      <c r="N135" s="41"/>
      <c r="O135" s="20" t="s">
        <v>0</v>
      </c>
      <c r="P135" s="7">
        <f t="shared" si="8"/>
        <v>3.3</v>
      </c>
      <c r="Q135" s="8" t="str">
        <f t="shared" si="9"/>
        <v/>
      </c>
      <c r="R135" s="39" t="str">
        <f t="shared" si="11"/>
        <v>10</v>
      </c>
      <c r="S135" s="8" t="str">
        <f t="shared" si="10"/>
        <v/>
      </c>
      <c r="T135" s="9" t="s">
        <v>1</v>
      </c>
      <c r="U135" s="27" t="s">
        <v>4</v>
      </c>
      <c r="V135" s="31" t="s">
        <v>576</v>
      </c>
      <c r="W135" s="9" t="s">
        <v>41</v>
      </c>
      <c r="X135" s="9" t="s">
        <v>345</v>
      </c>
      <c r="Y135" s="9" t="s">
        <v>35</v>
      </c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</row>
    <row r="136" spans="1:39" ht="20.25" hidden="1" customHeight="1" x14ac:dyDescent="0.3">
      <c r="A136" s="1">
        <v>710</v>
      </c>
      <c r="B136" s="6">
        <f>IF(LEN(C136=0),SUBTOTAL(3,$C$10:C136),"")</f>
        <v>73</v>
      </c>
      <c r="C136" s="54" t="s">
        <v>160</v>
      </c>
      <c r="D136" s="55" t="s">
        <v>451</v>
      </c>
      <c r="E136" s="56" t="s">
        <v>450</v>
      </c>
      <c r="F136" s="54" t="s">
        <v>413</v>
      </c>
      <c r="G136" s="57">
        <v>8</v>
      </c>
      <c r="H136" s="57">
        <v>8.5</v>
      </c>
      <c r="I136" s="64" t="s">
        <v>0</v>
      </c>
      <c r="J136" s="57">
        <v>7.5</v>
      </c>
      <c r="K136" s="10"/>
      <c r="L136" s="68">
        <v>7.7</v>
      </c>
      <c r="M136" s="69" t="str">
        <f>IFERROR(LOOKUP(INT(L136),Sheet1!$A$2:$A$12,Sheet1!$B$2:$B$12)&amp;" phẩy "&amp;(LOOKUP(ROUND(L136-INT(L136),1)*10,Sheet1!$A$2:$A$12,Sheet1!$C$2:$C$12)),"")</f>
        <v>Bảy phẩy bảy</v>
      </c>
      <c r="N136" s="41"/>
      <c r="O136" s="20" t="s">
        <v>0</v>
      </c>
      <c r="P136" s="7">
        <f t="shared" si="8"/>
        <v>3.2</v>
      </c>
      <c r="Q136" s="8" t="str">
        <f t="shared" si="9"/>
        <v/>
      </c>
      <c r="R136" s="39" t="str">
        <f t="shared" si="11"/>
        <v>10</v>
      </c>
      <c r="S136" s="8" t="str">
        <f t="shared" si="10"/>
        <v/>
      </c>
      <c r="T136" s="9" t="s">
        <v>1</v>
      </c>
      <c r="U136" s="27" t="s">
        <v>4</v>
      </c>
      <c r="V136" s="31" t="s">
        <v>576</v>
      </c>
      <c r="W136" s="9" t="s">
        <v>41</v>
      </c>
      <c r="X136" s="9" t="s">
        <v>345</v>
      </c>
      <c r="Y136" s="9" t="s">
        <v>35</v>
      </c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</row>
    <row r="137" spans="1:39" ht="20.25" hidden="1" customHeight="1" x14ac:dyDescent="0.3">
      <c r="A137" s="1">
        <v>711</v>
      </c>
      <c r="B137" s="6">
        <f>IF(LEN(C137=0),SUBTOTAL(3,$C$10:C137),"")</f>
        <v>73</v>
      </c>
      <c r="C137" s="54" t="s">
        <v>241</v>
      </c>
      <c r="D137" s="55" t="s">
        <v>452</v>
      </c>
      <c r="E137" s="56" t="s">
        <v>453</v>
      </c>
      <c r="F137" s="54" t="s">
        <v>359</v>
      </c>
      <c r="G137" s="57">
        <v>8</v>
      </c>
      <c r="H137" s="57">
        <v>8.5</v>
      </c>
      <c r="I137" s="64" t="s">
        <v>0</v>
      </c>
      <c r="J137" s="57">
        <v>7.5</v>
      </c>
      <c r="K137" s="10"/>
      <c r="L137" s="68">
        <v>8</v>
      </c>
      <c r="M137" s="69" t="str">
        <f>IFERROR(LOOKUP(INT(L137),Sheet1!$A$2:$A$12,Sheet1!$B$2:$B$12)&amp;" phẩy "&amp;(LOOKUP(ROUND(L137-INT(L137),1)*10,Sheet1!$A$2:$A$12,Sheet1!$C$2:$C$12)),"")</f>
        <v>Tám phẩy không</v>
      </c>
      <c r="N137" s="41"/>
      <c r="O137" s="20" t="s">
        <v>0</v>
      </c>
      <c r="P137" s="7">
        <f t="shared" si="8"/>
        <v>3.2</v>
      </c>
      <c r="Q137" s="8" t="str">
        <f t="shared" si="9"/>
        <v/>
      </c>
      <c r="R137" s="39" t="str">
        <f t="shared" si="11"/>
        <v>10</v>
      </c>
      <c r="S137" s="8" t="str">
        <f t="shared" si="10"/>
        <v/>
      </c>
      <c r="T137" s="9" t="s">
        <v>1</v>
      </c>
      <c r="U137" s="27" t="s">
        <v>4</v>
      </c>
      <c r="V137" s="31" t="s">
        <v>576</v>
      </c>
      <c r="W137" s="9" t="s">
        <v>41</v>
      </c>
      <c r="X137" s="9" t="s">
        <v>345</v>
      </c>
      <c r="Y137" s="9" t="s">
        <v>35</v>
      </c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</row>
    <row r="138" spans="1:39" ht="20.25" hidden="1" customHeight="1" x14ac:dyDescent="0.3">
      <c r="A138" s="1">
        <v>712</v>
      </c>
      <c r="B138" s="6">
        <f>IF(LEN(C138=0),SUBTOTAL(3,$C$10:C138),"")</f>
        <v>73</v>
      </c>
      <c r="C138" s="54" t="s">
        <v>110</v>
      </c>
      <c r="D138" s="55" t="s">
        <v>454</v>
      </c>
      <c r="E138" s="56" t="s">
        <v>455</v>
      </c>
      <c r="F138" s="54" t="s">
        <v>369</v>
      </c>
      <c r="G138" s="57">
        <v>10</v>
      </c>
      <c r="H138" s="57">
        <v>8.5</v>
      </c>
      <c r="I138" s="64" t="s">
        <v>0</v>
      </c>
      <c r="J138" s="57">
        <v>7.5</v>
      </c>
      <c r="K138" s="10"/>
      <c r="L138" s="68">
        <v>9</v>
      </c>
      <c r="M138" s="69" t="str">
        <f>IFERROR(LOOKUP(INT(L138),Sheet1!$A$2:$A$12,Sheet1!$B$2:$B$12)&amp;" phẩy "&amp;(LOOKUP(ROUND(L138-INT(L138),1)*10,Sheet1!$A$2:$A$12,Sheet1!$C$2:$C$12)),"")</f>
        <v>Chín phẩy không</v>
      </c>
      <c r="N138" s="41"/>
      <c r="O138" s="20" t="s">
        <v>0</v>
      </c>
      <c r="P138" s="7">
        <f t="shared" si="8"/>
        <v>3.4</v>
      </c>
      <c r="Q138" s="8" t="str">
        <f t="shared" si="9"/>
        <v/>
      </c>
      <c r="R138" s="39" t="str">
        <f t="shared" si="11"/>
        <v>10</v>
      </c>
      <c r="S138" s="8" t="str">
        <f t="shared" si="10"/>
        <v/>
      </c>
      <c r="T138" s="9" t="s">
        <v>1</v>
      </c>
      <c r="U138" s="27" t="s">
        <v>4</v>
      </c>
      <c r="V138" s="31" t="s">
        <v>576</v>
      </c>
      <c r="W138" s="9" t="s">
        <v>41</v>
      </c>
      <c r="X138" s="9" t="s">
        <v>345</v>
      </c>
      <c r="Y138" s="9" t="s">
        <v>35</v>
      </c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</row>
    <row r="139" spans="1:39" ht="20.25" hidden="1" customHeight="1" x14ac:dyDescent="0.3">
      <c r="A139" s="1">
        <v>713</v>
      </c>
      <c r="B139" s="6">
        <f>IF(LEN(C139=0),SUBTOTAL(3,$C$10:C139),"")</f>
        <v>73</v>
      </c>
      <c r="C139" s="54" t="s">
        <v>96</v>
      </c>
      <c r="D139" s="55" t="s">
        <v>456</v>
      </c>
      <c r="E139" s="56" t="s">
        <v>457</v>
      </c>
      <c r="F139" s="54" t="s">
        <v>356</v>
      </c>
      <c r="G139" s="57">
        <v>9</v>
      </c>
      <c r="H139" s="57">
        <v>8.5</v>
      </c>
      <c r="I139" s="64" t="s">
        <v>0</v>
      </c>
      <c r="J139" s="57">
        <v>8.5</v>
      </c>
      <c r="K139" s="10"/>
      <c r="L139" s="68">
        <v>7.8</v>
      </c>
      <c r="M139" s="69" t="str">
        <f>IFERROR(LOOKUP(INT(L139),Sheet1!$A$2:$A$12,Sheet1!$B$2:$B$12)&amp;" phẩy "&amp;(LOOKUP(ROUND(L139-INT(L139),1)*10,Sheet1!$A$2:$A$12,Sheet1!$C$2:$C$12)),"")</f>
        <v>Bảy phẩy tám</v>
      </c>
      <c r="N139" s="41"/>
      <c r="O139" s="20" t="s">
        <v>0</v>
      </c>
      <c r="P139" s="7">
        <f t="shared" si="8"/>
        <v>3.5</v>
      </c>
      <c r="Q139" s="8" t="str">
        <f t="shared" si="9"/>
        <v/>
      </c>
      <c r="R139" s="39" t="str">
        <f t="shared" si="11"/>
        <v>10</v>
      </c>
      <c r="S139" s="8" t="str">
        <f t="shared" si="10"/>
        <v/>
      </c>
      <c r="T139" s="9" t="s">
        <v>1</v>
      </c>
      <c r="U139" s="27" t="s">
        <v>4</v>
      </c>
      <c r="V139" s="31" t="s">
        <v>576</v>
      </c>
      <c r="W139" s="9" t="s">
        <v>41</v>
      </c>
      <c r="X139" s="9" t="s">
        <v>345</v>
      </c>
      <c r="Y139" s="9" t="s">
        <v>35</v>
      </c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</row>
    <row r="140" spans="1:39" ht="20.25" hidden="1" customHeight="1" x14ac:dyDescent="0.3">
      <c r="A140" s="1">
        <v>714</v>
      </c>
      <c r="B140" s="6">
        <f>IF(LEN(C140=0),SUBTOTAL(3,$C$10:C140),"")</f>
        <v>73</v>
      </c>
      <c r="C140" s="54" t="s">
        <v>257</v>
      </c>
      <c r="D140" s="55" t="s">
        <v>416</v>
      </c>
      <c r="E140" s="56" t="s">
        <v>458</v>
      </c>
      <c r="F140" s="54" t="s">
        <v>372</v>
      </c>
      <c r="G140" s="57">
        <v>10</v>
      </c>
      <c r="H140" s="57">
        <v>8.5</v>
      </c>
      <c r="I140" s="64" t="s">
        <v>0</v>
      </c>
      <c r="J140" s="57">
        <v>8.5</v>
      </c>
      <c r="K140" s="10"/>
      <c r="L140" s="68">
        <v>8</v>
      </c>
      <c r="M140" s="69" t="str">
        <f>IFERROR(LOOKUP(INT(L140),Sheet1!$A$2:$A$12,Sheet1!$B$2:$B$12)&amp;" phẩy "&amp;(LOOKUP(ROUND(L140-INT(L140),1)*10,Sheet1!$A$2:$A$12,Sheet1!$C$2:$C$12)),"")</f>
        <v>Tám phẩy không</v>
      </c>
      <c r="N140" s="41"/>
      <c r="O140" s="20" t="s">
        <v>0</v>
      </c>
      <c r="P140" s="7">
        <f t="shared" si="8"/>
        <v>3.6</v>
      </c>
      <c r="Q140" s="8" t="str">
        <f t="shared" si="9"/>
        <v/>
      </c>
      <c r="R140" s="39" t="str">
        <f t="shared" si="11"/>
        <v>10</v>
      </c>
      <c r="S140" s="8" t="str">
        <f t="shared" si="10"/>
        <v/>
      </c>
      <c r="T140" s="9" t="s">
        <v>1</v>
      </c>
      <c r="U140" s="27" t="s">
        <v>4</v>
      </c>
      <c r="V140" s="31" t="s">
        <v>576</v>
      </c>
      <c r="W140" s="9" t="s">
        <v>41</v>
      </c>
      <c r="X140" s="9" t="s">
        <v>345</v>
      </c>
      <c r="Y140" s="9" t="s">
        <v>35</v>
      </c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</row>
    <row r="141" spans="1:39" ht="20.25" hidden="1" customHeight="1" x14ac:dyDescent="0.3">
      <c r="A141" s="1">
        <v>715</v>
      </c>
      <c r="B141" s="6">
        <f>IF(LEN(C141=0),SUBTOTAL(3,$C$10:C141),"")</f>
        <v>73</v>
      </c>
      <c r="C141" s="54" t="s">
        <v>220</v>
      </c>
      <c r="D141" s="55" t="s">
        <v>459</v>
      </c>
      <c r="E141" s="56" t="s">
        <v>460</v>
      </c>
      <c r="F141" s="54" t="s">
        <v>372</v>
      </c>
      <c r="G141" s="57">
        <v>9</v>
      </c>
      <c r="H141" s="57">
        <v>8.5</v>
      </c>
      <c r="I141" s="64" t="s">
        <v>0</v>
      </c>
      <c r="J141" s="57">
        <v>8.5</v>
      </c>
      <c r="K141" s="10"/>
      <c r="L141" s="68">
        <v>6.8</v>
      </c>
      <c r="M141" s="69" t="str">
        <f>IFERROR(LOOKUP(INT(L141),Sheet1!$A$2:$A$12,Sheet1!$B$2:$B$12)&amp;" phẩy "&amp;(LOOKUP(ROUND(L141-INT(L141),1)*10,Sheet1!$A$2:$A$12,Sheet1!$C$2:$C$12)),"")</f>
        <v>Sáu phẩy tám</v>
      </c>
      <c r="N141" s="41"/>
      <c r="O141" s="20" t="s">
        <v>0</v>
      </c>
      <c r="P141" s="7">
        <f t="shared" si="8"/>
        <v>3.5</v>
      </c>
      <c r="Q141" s="8" t="str">
        <f t="shared" si="9"/>
        <v/>
      </c>
      <c r="R141" s="39" t="str">
        <f t="shared" si="11"/>
        <v>10</v>
      </c>
      <c r="S141" s="8" t="str">
        <f t="shared" si="10"/>
        <v/>
      </c>
      <c r="T141" s="9" t="s">
        <v>1</v>
      </c>
      <c r="U141" s="27" t="s">
        <v>4</v>
      </c>
      <c r="V141" s="31" t="s">
        <v>576</v>
      </c>
      <c r="W141" s="9" t="s">
        <v>41</v>
      </c>
      <c r="X141" s="9" t="s">
        <v>345</v>
      </c>
      <c r="Y141" s="9" t="s">
        <v>35</v>
      </c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</row>
    <row r="142" spans="1:39" ht="20.25" hidden="1" customHeight="1" x14ac:dyDescent="0.3">
      <c r="A142" s="1">
        <v>716</v>
      </c>
      <c r="B142" s="6">
        <f>IF(LEN(C142=0),SUBTOTAL(3,$C$10:C142),"")</f>
        <v>73</v>
      </c>
      <c r="C142" s="54" t="s">
        <v>149</v>
      </c>
      <c r="D142" s="55" t="s">
        <v>461</v>
      </c>
      <c r="E142" s="56" t="s">
        <v>462</v>
      </c>
      <c r="F142" s="54" t="s">
        <v>359</v>
      </c>
      <c r="G142" s="57">
        <v>9</v>
      </c>
      <c r="H142" s="57">
        <v>7.5</v>
      </c>
      <c r="I142" s="64" t="s">
        <v>0</v>
      </c>
      <c r="J142" s="57">
        <v>7.5</v>
      </c>
      <c r="K142" s="10"/>
      <c r="L142" s="68">
        <v>7</v>
      </c>
      <c r="M142" s="69" t="str">
        <f>IFERROR(LOOKUP(INT(L142),Sheet1!$A$2:$A$12,Sheet1!$B$2:$B$12)&amp;" phẩy "&amp;(LOOKUP(ROUND(L142-INT(L142),1)*10,Sheet1!$A$2:$A$12,Sheet1!$C$2:$C$12)),"")</f>
        <v>Bảy phẩy không</v>
      </c>
      <c r="N142" s="41"/>
      <c r="O142" s="20" t="s">
        <v>0</v>
      </c>
      <c r="P142" s="7">
        <f t="shared" si="8"/>
        <v>3.2</v>
      </c>
      <c r="Q142" s="8" t="str">
        <f t="shared" si="9"/>
        <v/>
      </c>
      <c r="R142" s="39" t="str">
        <f t="shared" si="11"/>
        <v>10</v>
      </c>
      <c r="S142" s="8" t="str">
        <f t="shared" si="10"/>
        <v/>
      </c>
      <c r="T142" s="9" t="s">
        <v>1</v>
      </c>
      <c r="U142" s="27" t="s">
        <v>4</v>
      </c>
      <c r="V142" s="31" t="s">
        <v>576</v>
      </c>
      <c r="W142" s="9" t="s">
        <v>41</v>
      </c>
      <c r="X142" s="9" t="s">
        <v>345</v>
      </c>
      <c r="Y142" s="9" t="s">
        <v>35</v>
      </c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</row>
    <row r="143" spans="1:39" ht="20.25" hidden="1" customHeight="1" x14ac:dyDescent="0.3">
      <c r="A143" s="1">
        <v>717</v>
      </c>
      <c r="B143" s="6">
        <f>IF(LEN(C143=0),SUBTOTAL(3,$C$10:C143),"")</f>
        <v>73</v>
      </c>
      <c r="C143" s="54" t="s">
        <v>107</v>
      </c>
      <c r="D143" s="55" t="s">
        <v>463</v>
      </c>
      <c r="E143" s="56" t="s">
        <v>464</v>
      </c>
      <c r="F143" s="54" t="s">
        <v>356</v>
      </c>
      <c r="G143" s="57">
        <v>10</v>
      </c>
      <c r="H143" s="57">
        <v>8.5</v>
      </c>
      <c r="I143" s="64" t="s">
        <v>0</v>
      </c>
      <c r="J143" s="57">
        <v>8.5</v>
      </c>
      <c r="K143" s="10"/>
      <c r="L143" s="68">
        <v>7.7</v>
      </c>
      <c r="M143" s="69" t="str">
        <f>IFERROR(LOOKUP(INT(L143),Sheet1!$A$2:$A$12,Sheet1!$B$2:$B$12)&amp;" phẩy "&amp;(LOOKUP(ROUND(L143-INT(L143),1)*10,Sheet1!$A$2:$A$12,Sheet1!$C$2:$C$12)),"")</f>
        <v>Bảy phẩy bảy</v>
      </c>
      <c r="N143" s="41"/>
      <c r="O143" s="20" t="s">
        <v>0</v>
      </c>
      <c r="P143" s="7">
        <f t="shared" si="8"/>
        <v>3.6</v>
      </c>
      <c r="Q143" s="8" t="str">
        <f t="shared" si="9"/>
        <v/>
      </c>
      <c r="R143" s="39" t="str">
        <f t="shared" si="11"/>
        <v>10</v>
      </c>
      <c r="S143" s="8" t="str">
        <f t="shared" si="10"/>
        <v/>
      </c>
      <c r="T143" s="9" t="s">
        <v>1</v>
      </c>
      <c r="U143" s="27" t="s">
        <v>4</v>
      </c>
      <c r="V143" s="31" t="s">
        <v>576</v>
      </c>
      <c r="W143" s="9" t="s">
        <v>41</v>
      </c>
      <c r="X143" s="9" t="s">
        <v>345</v>
      </c>
      <c r="Y143" s="9" t="s">
        <v>35</v>
      </c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</row>
    <row r="144" spans="1:39" ht="20.25" hidden="1" customHeight="1" x14ac:dyDescent="0.3">
      <c r="A144" s="1">
        <v>718</v>
      </c>
      <c r="B144" s="6">
        <f>IF(LEN(C144=0),SUBTOTAL(3,$C$10:C144),"")</f>
        <v>73</v>
      </c>
      <c r="C144" s="54" t="s">
        <v>111</v>
      </c>
      <c r="D144" s="55" t="s">
        <v>367</v>
      </c>
      <c r="E144" s="56" t="s">
        <v>465</v>
      </c>
      <c r="F144" s="54" t="s">
        <v>364</v>
      </c>
      <c r="G144" s="57">
        <v>10</v>
      </c>
      <c r="H144" s="57">
        <v>8.5</v>
      </c>
      <c r="I144" s="64" t="s">
        <v>0</v>
      </c>
      <c r="J144" s="57">
        <v>8.5</v>
      </c>
      <c r="K144" s="10"/>
      <c r="L144" s="68">
        <v>7.5</v>
      </c>
      <c r="M144" s="69" t="str">
        <f>IFERROR(LOOKUP(INT(L144),Sheet1!$A$2:$A$12,Sheet1!$B$2:$B$12)&amp;" phẩy "&amp;(LOOKUP(ROUND(L144-INT(L144),1)*10,Sheet1!$A$2:$A$12,Sheet1!$C$2:$C$12)),"")</f>
        <v>Bảy phẩy năm</v>
      </c>
      <c r="N144" s="41"/>
      <c r="O144" s="20" t="s">
        <v>0</v>
      </c>
      <c r="P144" s="7">
        <f t="shared" si="8"/>
        <v>3.6</v>
      </c>
      <c r="Q144" s="8" t="str">
        <f t="shared" si="9"/>
        <v/>
      </c>
      <c r="R144" s="39" t="str">
        <f t="shared" si="11"/>
        <v>10</v>
      </c>
      <c r="S144" s="8" t="str">
        <f t="shared" si="10"/>
        <v/>
      </c>
      <c r="T144" s="9" t="s">
        <v>1</v>
      </c>
      <c r="U144" s="27" t="s">
        <v>4</v>
      </c>
      <c r="V144" s="31" t="s">
        <v>576</v>
      </c>
      <c r="W144" s="9" t="s">
        <v>41</v>
      </c>
      <c r="X144" s="9" t="s">
        <v>345</v>
      </c>
      <c r="Y144" s="9" t="s">
        <v>35</v>
      </c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</row>
    <row r="145" spans="1:39" ht="20.25" hidden="1" customHeight="1" x14ac:dyDescent="0.3">
      <c r="A145" s="1">
        <v>719</v>
      </c>
      <c r="B145" s="6">
        <f>IF(LEN(C145=0),SUBTOTAL(3,$C$10:C145),"")</f>
        <v>73</v>
      </c>
      <c r="C145" s="54" t="s">
        <v>123</v>
      </c>
      <c r="D145" s="55" t="s">
        <v>466</v>
      </c>
      <c r="E145" s="56" t="s">
        <v>467</v>
      </c>
      <c r="F145" s="54" t="s">
        <v>366</v>
      </c>
      <c r="G145" s="57">
        <v>10</v>
      </c>
      <c r="H145" s="57">
        <v>8.5</v>
      </c>
      <c r="I145" s="64" t="s">
        <v>0</v>
      </c>
      <c r="J145" s="57">
        <v>8.5</v>
      </c>
      <c r="K145" s="10"/>
      <c r="L145" s="68">
        <v>7.8</v>
      </c>
      <c r="M145" s="69" t="str">
        <f>IFERROR(LOOKUP(INT(L145),Sheet1!$A$2:$A$12,Sheet1!$B$2:$B$12)&amp;" phẩy "&amp;(LOOKUP(ROUND(L145-INT(L145),1)*10,Sheet1!$A$2:$A$12,Sheet1!$C$2:$C$12)),"")</f>
        <v>Bảy phẩy tám</v>
      </c>
      <c r="N145" s="41"/>
      <c r="O145" s="20" t="s">
        <v>0</v>
      </c>
      <c r="P145" s="7">
        <f t="shared" si="8"/>
        <v>3.6</v>
      </c>
      <c r="Q145" s="8" t="str">
        <f t="shared" si="9"/>
        <v/>
      </c>
      <c r="R145" s="39" t="str">
        <f t="shared" si="11"/>
        <v>10</v>
      </c>
      <c r="S145" s="8" t="str">
        <f t="shared" si="10"/>
        <v/>
      </c>
      <c r="T145" s="9" t="s">
        <v>1</v>
      </c>
      <c r="U145" s="27" t="s">
        <v>4</v>
      </c>
      <c r="V145" s="31" t="s">
        <v>576</v>
      </c>
      <c r="W145" s="9" t="s">
        <v>41</v>
      </c>
      <c r="X145" s="9" t="s">
        <v>345</v>
      </c>
      <c r="Y145" s="9" t="s">
        <v>35</v>
      </c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</row>
    <row r="146" spans="1:39" ht="20.25" hidden="1" customHeight="1" x14ac:dyDescent="0.3">
      <c r="A146" s="1">
        <v>720</v>
      </c>
      <c r="B146" s="6">
        <f>IF(LEN(C146=0),SUBTOTAL(3,$C$10:C146),"")</f>
        <v>73</v>
      </c>
      <c r="C146" s="54" t="s">
        <v>147</v>
      </c>
      <c r="D146" s="55" t="s">
        <v>468</v>
      </c>
      <c r="E146" s="56" t="s">
        <v>469</v>
      </c>
      <c r="F146" s="54" t="s">
        <v>372</v>
      </c>
      <c r="G146" s="57">
        <v>9.5</v>
      </c>
      <c r="H146" s="57">
        <v>8.5</v>
      </c>
      <c r="I146" s="64" t="s">
        <v>0</v>
      </c>
      <c r="J146" s="57">
        <v>8.5</v>
      </c>
      <c r="K146" s="10"/>
      <c r="L146" s="68">
        <v>7.2</v>
      </c>
      <c r="M146" s="69" t="str">
        <f>IFERROR(LOOKUP(INT(L146),Sheet1!$A$2:$A$12,Sheet1!$B$2:$B$12)&amp;" phẩy "&amp;(LOOKUP(ROUND(L146-INT(L146),1)*10,Sheet1!$A$2:$A$12,Sheet1!$C$2:$C$12)),"")</f>
        <v>Bảy phẩy hai</v>
      </c>
      <c r="N146" s="41"/>
      <c r="O146" s="20" t="s">
        <v>0</v>
      </c>
      <c r="P146" s="7">
        <f t="shared" si="8"/>
        <v>3.5</v>
      </c>
      <c r="Q146" s="8" t="str">
        <f t="shared" si="9"/>
        <v/>
      </c>
      <c r="R146" s="39" t="str">
        <f t="shared" si="11"/>
        <v>10</v>
      </c>
      <c r="S146" s="8" t="str">
        <f t="shared" si="10"/>
        <v/>
      </c>
      <c r="T146" s="9" t="s">
        <v>1</v>
      </c>
      <c r="U146" s="27" t="s">
        <v>4</v>
      </c>
      <c r="V146" s="31" t="s">
        <v>576</v>
      </c>
      <c r="W146" s="9" t="s">
        <v>41</v>
      </c>
      <c r="X146" s="9" t="s">
        <v>345</v>
      </c>
      <c r="Y146" s="9" t="s">
        <v>35</v>
      </c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</row>
    <row r="147" spans="1:39" ht="20.25" hidden="1" customHeight="1" x14ac:dyDescent="0.3">
      <c r="A147" s="1">
        <v>721</v>
      </c>
      <c r="B147" s="6">
        <f>IF(LEN(C147=0),SUBTOTAL(3,$C$10:C147),"")</f>
        <v>73</v>
      </c>
      <c r="C147" s="54" t="s">
        <v>258</v>
      </c>
      <c r="D147" s="55" t="s">
        <v>442</v>
      </c>
      <c r="E147" s="56" t="s">
        <v>469</v>
      </c>
      <c r="F147" s="54" t="s">
        <v>413</v>
      </c>
      <c r="G147" s="57">
        <v>8</v>
      </c>
      <c r="H147" s="57">
        <v>8.5</v>
      </c>
      <c r="I147" s="64" t="s">
        <v>0</v>
      </c>
      <c r="J147" s="57">
        <v>7.5</v>
      </c>
      <c r="K147" s="10"/>
      <c r="L147" s="68">
        <v>7.8</v>
      </c>
      <c r="M147" s="69" t="str">
        <f>IFERROR(LOOKUP(INT(L147),Sheet1!$A$2:$A$12,Sheet1!$B$2:$B$12)&amp;" phẩy "&amp;(LOOKUP(ROUND(L147-INT(L147),1)*10,Sheet1!$A$2:$A$12,Sheet1!$C$2:$C$12)),"")</f>
        <v>Bảy phẩy tám</v>
      </c>
      <c r="N147" s="41"/>
      <c r="O147" s="20" t="s">
        <v>0</v>
      </c>
      <c r="P147" s="7">
        <f t="shared" si="8"/>
        <v>3.2</v>
      </c>
      <c r="Q147" s="8" t="str">
        <f t="shared" si="9"/>
        <v/>
      </c>
      <c r="R147" s="39" t="str">
        <f t="shared" si="11"/>
        <v>10</v>
      </c>
      <c r="S147" s="8" t="str">
        <f t="shared" si="10"/>
        <v/>
      </c>
      <c r="T147" s="9" t="s">
        <v>1</v>
      </c>
      <c r="U147" s="27" t="s">
        <v>4</v>
      </c>
      <c r="V147" s="31" t="s">
        <v>576</v>
      </c>
      <c r="W147" s="9" t="s">
        <v>41</v>
      </c>
      <c r="X147" s="9" t="s">
        <v>345</v>
      </c>
      <c r="Y147" s="9" t="s">
        <v>35</v>
      </c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</row>
    <row r="148" spans="1:39" ht="20.25" hidden="1" customHeight="1" x14ac:dyDescent="0.3">
      <c r="A148" s="1">
        <v>722</v>
      </c>
      <c r="B148" s="6">
        <f>IF(LEN(C148=0),SUBTOTAL(3,$C$10:C148),"")</f>
        <v>73</v>
      </c>
      <c r="C148" s="54" t="s">
        <v>169</v>
      </c>
      <c r="D148" s="55" t="s">
        <v>470</v>
      </c>
      <c r="E148" s="56" t="s">
        <v>469</v>
      </c>
      <c r="F148" s="54" t="s">
        <v>359</v>
      </c>
      <c r="G148" s="57">
        <v>5</v>
      </c>
      <c r="H148" s="57">
        <v>2</v>
      </c>
      <c r="I148" s="64" t="s">
        <v>0</v>
      </c>
      <c r="J148" s="57">
        <v>2</v>
      </c>
      <c r="K148" s="10"/>
      <c r="L148" s="68">
        <v>3.8</v>
      </c>
      <c r="M148" s="69" t="str">
        <f>IFERROR(LOOKUP(INT(L148),Sheet1!$A$2:$A$12,Sheet1!$B$2:$B$12)&amp;" phẩy "&amp;(LOOKUP(ROUND(L148-INT(L148),1)*10,Sheet1!$A$2:$A$12,Sheet1!$C$2:$C$12)),"")</f>
        <v>Ba phẩy tám</v>
      </c>
      <c r="N148" s="41"/>
      <c r="O148" s="20" t="s">
        <v>0</v>
      </c>
      <c r="P148" s="7">
        <f t="shared" si="8"/>
        <v>1.1000000000000001</v>
      </c>
      <c r="Q148" s="8" t="str">
        <f t="shared" si="9"/>
        <v>Không đủ ĐKDT</v>
      </c>
      <c r="R148" s="39" t="str">
        <f t="shared" si="11"/>
        <v>10</v>
      </c>
      <c r="S148" s="8" t="str">
        <f t="shared" si="10"/>
        <v>Nợ HP</v>
      </c>
      <c r="T148" s="9" t="s">
        <v>1</v>
      </c>
      <c r="U148" s="27" t="s">
        <v>4</v>
      </c>
      <c r="V148" s="31" t="s">
        <v>576</v>
      </c>
      <c r="W148" s="9" t="s">
        <v>41</v>
      </c>
      <c r="X148" s="9" t="s">
        <v>345</v>
      </c>
      <c r="Y148" s="9" t="s">
        <v>35</v>
      </c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</row>
    <row r="149" spans="1:39" ht="20.25" hidden="1" customHeight="1" x14ac:dyDescent="0.3">
      <c r="A149" s="1">
        <v>723</v>
      </c>
      <c r="B149" s="6">
        <f>IF(LEN(C149=0),SUBTOTAL(3,$C$10:C149),"")</f>
        <v>73</v>
      </c>
      <c r="C149" s="54" t="s">
        <v>174</v>
      </c>
      <c r="D149" s="55" t="s">
        <v>471</v>
      </c>
      <c r="E149" s="56" t="s">
        <v>472</v>
      </c>
      <c r="F149" s="54" t="s">
        <v>356</v>
      </c>
      <c r="G149" s="57">
        <v>10</v>
      </c>
      <c r="H149" s="57">
        <v>7.5</v>
      </c>
      <c r="I149" s="64" t="s">
        <v>0</v>
      </c>
      <c r="J149" s="57">
        <v>7.5</v>
      </c>
      <c r="K149" s="10"/>
      <c r="L149" s="68">
        <v>7.8</v>
      </c>
      <c r="M149" s="69" t="str">
        <f>IFERROR(LOOKUP(INT(L149),Sheet1!$A$2:$A$12,Sheet1!$B$2:$B$12)&amp;" phẩy "&amp;(LOOKUP(ROUND(L149-INT(L149),1)*10,Sheet1!$A$2:$A$12,Sheet1!$C$2:$C$12)),"")</f>
        <v>Bảy phẩy tám</v>
      </c>
      <c r="N149" s="41"/>
      <c r="O149" s="20" t="s">
        <v>0</v>
      </c>
      <c r="P149" s="7">
        <f t="shared" si="8"/>
        <v>3.3</v>
      </c>
      <c r="Q149" s="8" t="str">
        <f t="shared" si="9"/>
        <v/>
      </c>
      <c r="R149" s="39" t="str">
        <f t="shared" si="11"/>
        <v>10</v>
      </c>
      <c r="S149" s="8" t="str">
        <f t="shared" si="10"/>
        <v/>
      </c>
      <c r="T149" s="9" t="s">
        <v>1</v>
      </c>
      <c r="U149" s="27" t="s">
        <v>4</v>
      </c>
      <c r="V149" s="31" t="s">
        <v>576</v>
      </c>
      <c r="W149" s="9" t="s">
        <v>41</v>
      </c>
      <c r="X149" s="9" t="s">
        <v>345</v>
      </c>
      <c r="Y149" s="9" t="s">
        <v>35</v>
      </c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</row>
    <row r="150" spans="1:39" ht="20.25" hidden="1" customHeight="1" x14ac:dyDescent="0.3">
      <c r="A150" s="1">
        <v>724</v>
      </c>
      <c r="B150" s="6">
        <f>IF(LEN(C150=0),SUBTOTAL(3,$C$10:C150),"")</f>
        <v>73</v>
      </c>
      <c r="C150" s="54" t="s">
        <v>140</v>
      </c>
      <c r="D150" s="55" t="s">
        <v>473</v>
      </c>
      <c r="E150" s="56" t="s">
        <v>472</v>
      </c>
      <c r="F150" s="54" t="s">
        <v>354</v>
      </c>
      <c r="G150" s="57">
        <v>10</v>
      </c>
      <c r="H150" s="57">
        <v>8</v>
      </c>
      <c r="I150" s="64" t="s">
        <v>0</v>
      </c>
      <c r="J150" s="57">
        <v>8</v>
      </c>
      <c r="K150" s="10"/>
      <c r="L150" s="68">
        <v>8.3000000000000007</v>
      </c>
      <c r="M150" s="69" t="str">
        <f>IFERROR(LOOKUP(INT(L150),Sheet1!$A$2:$A$12,Sheet1!$B$2:$B$12)&amp;" phẩy "&amp;(LOOKUP(ROUND(L150-INT(L150),1)*10,Sheet1!$A$2:$A$12,Sheet1!$C$2:$C$12)),"")</f>
        <v>Tám phẩy ba</v>
      </c>
      <c r="N150" s="41"/>
      <c r="O150" s="20" t="s">
        <v>0</v>
      </c>
      <c r="P150" s="7">
        <f t="shared" si="8"/>
        <v>3.4</v>
      </c>
      <c r="Q150" s="8" t="str">
        <f t="shared" si="9"/>
        <v/>
      </c>
      <c r="R150" s="39" t="str">
        <f t="shared" si="11"/>
        <v>10</v>
      </c>
      <c r="S150" s="8" t="str">
        <f t="shared" si="10"/>
        <v/>
      </c>
      <c r="T150" s="9" t="s">
        <v>1</v>
      </c>
      <c r="U150" s="27" t="s">
        <v>4</v>
      </c>
      <c r="V150" s="31" t="s">
        <v>576</v>
      </c>
      <c r="W150" s="9" t="s">
        <v>41</v>
      </c>
      <c r="X150" s="9" t="s">
        <v>345</v>
      </c>
      <c r="Y150" s="9" t="s">
        <v>35</v>
      </c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</row>
    <row r="151" spans="1:39" ht="20.25" hidden="1" customHeight="1" x14ac:dyDescent="0.3">
      <c r="A151" s="1">
        <v>725</v>
      </c>
      <c r="B151" s="6">
        <f>IF(LEN(C151=0),SUBTOTAL(3,$C$10:C151),"")</f>
        <v>73</v>
      </c>
      <c r="C151" s="54" t="s">
        <v>198</v>
      </c>
      <c r="D151" s="55" t="s">
        <v>474</v>
      </c>
      <c r="E151" s="56" t="s">
        <v>475</v>
      </c>
      <c r="F151" s="54" t="s">
        <v>366</v>
      </c>
      <c r="G151" s="57">
        <v>9</v>
      </c>
      <c r="H151" s="57">
        <v>8</v>
      </c>
      <c r="I151" s="64" t="s">
        <v>0</v>
      </c>
      <c r="J151" s="57">
        <v>8.5</v>
      </c>
      <c r="K151" s="10"/>
      <c r="L151" s="68">
        <v>4.7</v>
      </c>
      <c r="M151" s="69" t="str">
        <f>IFERROR(LOOKUP(INT(L151),Sheet1!$A$2:$A$12,Sheet1!$B$2:$B$12)&amp;" phẩy "&amp;(LOOKUP(ROUND(L151-INT(L151),1)*10,Sheet1!$A$2:$A$12,Sheet1!$C$2:$C$12)),"")</f>
        <v>Bốn phẩy bảy</v>
      </c>
      <c r="N151" s="41"/>
      <c r="O151" s="20" t="s">
        <v>0</v>
      </c>
      <c r="P151" s="7">
        <f t="shared" si="8"/>
        <v>3.4</v>
      </c>
      <c r="Q151" s="8" t="str">
        <f t="shared" si="9"/>
        <v/>
      </c>
      <c r="R151" s="39" t="str">
        <f t="shared" si="11"/>
        <v>10</v>
      </c>
      <c r="S151" s="8" t="str">
        <f t="shared" si="10"/>
        <v/>
      </c>
      <c r="T151" s="9" t="s">
        <v>1</v>
      </c>
      <c r="U151" s="27" t="s">
        <v>4</v>
      </c>
      <c r="V151" s="31" t="s">
        <v>576</v>
      </c>
      <c r="W151" s="9" t="s">
        <v>41</v>
      </c>
      <c r="X151" s="9" t="s">
        <v>345</v>
      </c>
      <c r="Y151" s="9" t="s">
        <v>35</v>
      </c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</row>
    <row r="152" spans="1:39" ht="20.25" hidden="1" customHeight="1" x14ac:dyDescent="0.3">
      <c r="A152" s="1">
        <v>726</v>
      </c>
      <c r="B152" s="6">
        <f>IF(LEN(C152=0),SUBTOTAL(3,$C$10:C152),"")</f>
        <v>73</v>
      </c>
      <c r="C152" s="54" t="s">
        <v>213</v>
      </c>
      <c r="D152" s="55" t="s">
        <v>476</v>
      </c>
      <c r="E152" s="56" t="s">
        <v>477</v>
      </c>
      <c r="F152" s="54" t="s">
        <v>372</v>
      </c>
      <c r="G152" s="57">
        <v>10</v>
      </c>
      <c r="H152" s="57">
        <v>8.5</v>
      </c>
      <c r="I152" s="64" t="s">
        <v>0</v>
      </c>
      <c r="J152" s="57">
        <v>8.5</v>
      </c>
      <c r="K152" s="10"/>
      <c r="L152" s="68">
        <v>8.3000000000000007</v>
      </c>
      <c r="M152" s="69" t="str">
        <f>IFERROR(LOOKUP(INT(L152),Sheet1!$A$2:$A$12,Sheet1!$B$2:$B$12)&amp;" phẩy "&amp;(LOOKUP(ROUND(L152-INT(L152),1)*10,Sheet1!$A$2:$A$12,Sheet1!$C$2:$C$12)),"")</f>
        <v>Tám phẩy ba</v>
      </c>
      <c r="N152" s="41"/>
      <c r="O152" s="20" t="s">
        <v>0</v>
      </c>
      <c r="P152" s="7">
        <f t="shared" si="8"/>
        <v>3.6</v>
      </c>
      <c r="Q152" s="8" t="str">
        <f t="shared" si="9"/>
        <v/>
      </c>
      <c r="R152" s="39" t="str">
        <f t="shared" si="11"/>
        <v>10</v>
      </c>
      <c r="S152" s="8" t="str">
        <f t="shared" si="10"/>
        <v/>
      </c>
      <c r="T152" s="9" t="s">
        <v>1</v>
      </c>
      <c r="U152" s="27" t="s">
        <v>4</v>
      </c>
      <c r="V152" s="31" t="s">
        <v>576</v>
      </c>
      <c r="W152" s="9" t="s">
        <v>41</v>
      </c>
      <c r="X152" s="9" t="s">
        <v>345</v>
      </c>
      <c r="Y152" s="9" t="s">
        <v>35</v>
      </c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</row>
    <row r="153" spans="1:39" ht="20.25" hidden="1" customHeight="1" x14ac:dyDescent="0.3">
      <c r="A153" s="1">
        <v>727</v>
      </c>
      <c r="B153" s="6">
        <f>IF(LEN(C153=0),SUBTOTAL(3,$C$10:C153),"")</f>
        <v>73</v>
      </c>
      <c r="C153" s="54" t="s">
        <v>112</v>
      </c>
      <c r="D153" s="55" t="s">
        <v>478</v>
      </c>
      <c r="E153" s="56" t="s">
        <v>477</v>
      </c>
      <c r="F153" s="54" t="s">
        <v>369</v>
      </c>
      <c r="G153" s="57">
        <v>9</v>
      </c>
      <c r="H153" s="57">
        <v>8.5</v>
      </c>
      <c r="I153" s="64" t="s">
        <v>0</v>
      </c>
      <c r="J153" s="57">
        <v>7.5</v>
      </c>
      <c r="K153" s="10"/>
      <c r="L153" s="68">
        <v>7.5</v>
      </c>
      <c r="M153" s="69" t="str">
        <f>IFERROR(LOOKUP(INT(L153),Sheet1!$A$2:$A$12,Sheet1!$B$2:$B$12)&amp;" phẩy "&amp;(LOOKUP(ROUND(L153-INT(L153),1)*10,Sheet1!$A$2:$A$12,Sheet1!$C$2:$C$12)),"")</f>
        <v>Bảy phẩy năm</v>
      </c>
      <c r="N153" s="41"/>
      <c r="O153" s="20" t="s">
        <v>0</v>
      </c>
      <c r="P153" s="7">
        <f t="shared" si="8"/>
        <v>3.3</v>
      </c>
      <c r="Q153" s="8" t="str">
        <f t="shared" si="9"/>
        <v/>
      </c>
      <c r="R153" s="39" t="str">
        <f t="shared" si="11"/>
        <v>10</v>
      </c>
      <c r="S153" s="8" t="str">
        <f t="shared" si="10"/>
        <v/>
      </c>
      <c r="T153" s="9" t="s">
        <v>1</v>
      </c>
      <c r="U153" s="27" t="s">
        <v>4</v>
      </c>
      <c r="V153" s="31" t="s">
        <v>576</v>
      </c>
      <c r="W153" s="9" t="s">
        <v>41</v>
      </c>
      <c r="X153" s="9" t="s">
        <v>345</v>
      </c>
      <c r="Y153" s="9" t="s">
        <v>35</v>
      </c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</row>
    <row r="154" spans="1:39" ht="20.25" hidden="1" customHeight="1" x14ac:dyDescent="0.3">
      <c r="A154" s="1">
        <v>728</v>
      </c>
      <c r="B154" s="6">
        <f>IF(LEN(C154=0),SUBTOTAL(3,$C$10:C154),"")</f>
        <v>73</v>
      </c>
      <c r="C154" s="54" t="s">
        <v>170</v>
      </c>
      <c r="D154" s="55" t="s">
        <v>479</v>
      </c>
      <c r="E154" s="56" t="s">
        <v>480</v>
      </c>
      <c r="F154" s="54" t="s">
        <v>359</v>
      </c>
      <c r="G154" s="57">
        <v>10</v>
      </c>
      <c r="H154" s="57">
        <v>7.5</v>
      </c>
      <c r="I154" s="64" t="s">
        <v>0</v>
      </c>
      <c r="J154" s="57">
        <v>7.5</v>
      </c>
      <c r="K154" s="10"/>
      <c r="L154" s="68">
        <v>8.3000000000000007</v>
      </c>
      <c r="M154" s="69" t="str">
        <f>IFERROR(LOOKUP(INT(L154),Sheet1!$A$2:$A$12,Sheet1!$B$2:$B$12)&amp;" phẩy "&amp;(LOOKUP(ROUND(L154-INT(L154),1)*10,Sheet1!$A$2:$A$12,Sheet1!$C$2:$C$12)),"")</f>
        <v>Tám phẩy ba</v>
      </c>
      <c r="N154" s="41"/>
      <c r="O154" s="20" t="s">
        <v>0</v>
      </c>
      <c r="P154" s="7">
        <f t="shared" si="8"/>
        <v>3.3</v>
      </c>
      <c r="Q154" s="8" t="str">
        <f t="shared" si="9"/>
        <v/>
      </c>
      <c r="R154" s="39" t="str">
        <f t="shared" si="11"/>
        <v>10</v>
      </c>
      <c r="S154" s="8" t="str">
        <f t="shared" si="10"/>
        <v/>
      </c>
      <c r="T154" s="9" t="s">
        <v>1</v>
      </c>
      <c r="U154" s="27" t="s">
        <v>4</v>
      </c>
      <c r="V154" s="31" t="s">
        <v>576</v>
      </c>
      <c r="W154" s="9" t="s">
        <v>41</v>
      </c>
      <c r="X154" s="9" t="s">
        <v>345</v>
      </c>
      <c r="Y154" s="9" t="s">
        <v>35</v>
      </c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</row>
    <row r="155" spans="1:39" ht="20.25" hidden="1" customHeight="1" x14ac:dyDescent="0.3">
      <c r="A155" s="1">
        <v>729</v>
      </c>
      <c r="B155" s="47">
        <f>IF(LEN(C155=0),SUBTOTAL(3,$C$10:C155),"")</f>
        <v>73</v>
      </c>
      <c r="C155" s="58" t="s">
        <v>100</v>
      </c>
      <c r="D155" s="59" t="s">
        <v>481</v>
      </c>
      <c r="E155" s="60" t="s">
        <v>482</v>
      </c>
      <c r="F155" s="58" t="s">
        <v>354</v>
      </c>
      <c r="G155" s="61">
        <v>10</v>
      </c>
      <c r="H155" s="61">
        <v>7.5</v>
      </c>
      <c r="I155" s="65" t="s">
        <v>0</v>
      </c>
      <c r="J155" s="61">
        <v>7</v>
      </c>
      <c r="K155" s="48"/>
      <c r="L155" s="68">
        <v>8.1999999999999993</v>
      </c>
      <c r="M155" s="71" t="str">
        <f>IFERROR(LOOKUP(INT(L155),Sheet1!$A$2:$A$12,Sheet1!$B$2:$B$12)&amp;" phẩy "&amp;(LOOKUP(ROUND(L155-INT(L155),1)*10,Sheet1!$A$2:$A$12,Sheet1!$C$2:$C$12)),"")</f>
        <v>Tám phẩy hai</v>
      </c>
      <c r="N155" s="49"/>
      <c r="O155" s="50" t="s">
        <v>0</v>
      </c>
      <c r="P155" s="51">
        <f t="shared" si="8"/>
        <v>3.2</v>
      </c>
      <c r="Q155" s="52" t="str">
        <f t="shared" si="9"/>
        <v/>
      </c>
      <c r="R155" s="53" t="str">
        <f t="shared" si="11"/>
        <v>10</v>
      </c>
      <c r="S155" s="52" t="str">
        <f t="shared" si="10"/>
        <v/>
      </c>
      <c r="T155" s="9" t="s">
        <v>1</v>
      </c>
      <c r="U155" s="27" t="s">
        <v>4</v>
      </c>
      <c r="V155" s="31" t="s">
        <v>576</v>
      </c>
      <c r="W155" s="9" t="s">
        <v>41</v>
      </c>
      <c r="X155" s="9" t="s">
        <v>345</v>
      </c>
      <c r="Y155" s="9" t="s">
        <v>35</v>
      </c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</row>
    <row r="156" spans="1:39" ht="23.25" hidden="1" customHeight="1" x14ac:dyDescent="0.3">
      <c r="B156" s="18"/>
      <c r="C156" s="18"/>
      <c r="D156" s="19"/>
      <c r="E156" s="34"/>
      <c r="F156" s="2"/>
      <c r="G156" s="2"/>
      <c r="H156" s="76" t="s">
        <v>351</v>
      </c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25"/>
      <c r="U156" s="25"/>
      <c r="V156" s="25"/>
      <c r="W156" s="25"/>
      <c r="X156" s="25"/>
      <c r="Y156" s="25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</row>
    <row r="157" spans="1:39" ht="33" hidden="1" customHeight="1" x14ac:dyDescent="0.3">
      <c r="B157" s="99" t="s">
        <v>645</v>
      </c>
      <c r="C157" s="86"/>
      <c r="D157" s="86"/>
      <c r="E157" s="86"/>
      <c r="F157" s="86"/>
      <c r="G157" s="46"/>
      <c r="H157" s="101" t="s">
        <v>34</v>
      </c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26"/>
      <c r="U157" s="26"/>
      <c r="V157" s="26"/>
      <c r="W157" s="26"/>
      <c r="X157" s="26"/>
      <c r="Y157" s="26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</row>
    <row r="158" spans="1:39" hidden="1" x14ac:dyDescent="0.3">
      <c r="B158" s="86" t="s">
        <v>350</v>
      </c>
      <c r="C158" s="86"/>
      <c r="D158" s="86"/>
      <c r="E158" s="86"/>
      <c r="F158" s="86"/>
      <c r="G158" s="11"/>
      <c r="H158" s="11"/>
      <c r="I158" s="2"/>
      <c r="J158" s="2"/>
      <c r="K158" s="2"/>
      <c r="L158" s="2"/>
      <c r="M158" s="2"/>
      <c r="N158" s="2"/>
      <c r="O158" s="2"/>
      <c r="P158" s="2"/>
      <c r="Q158" s="2"/>
      <c r="R158" s="40"/>
      <c r="S158" s="38" t="str">
        <f t="shared" ref="S158:S161" si="12">IFERROR(VLOOKUP($C158,HP,2,0),"")</f>
        <v/>
      </c>
      <c r="T158" s="26"/>
      <c r="U158" s="26"/>
      <c r="V158" s="26"/>
      <c r="W158" s="26"/>
      <c r="X158" s="26"/>
      <c r="Y158" s="26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</row>
    <row r="159" spans="1:39" hidden="1" x14ac:dyDescent="0.3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40"/>
      <c r="S159" s="38" t="str">
        <f t="shared" si="12"/>
        <v/>
      </c>
      <c r="T159" s="26"/>
      <c r="U159" s="26"/>
      <c r="V159" s="26"/>
      <c r="W159" s="26"/>
      <c r="X159" s="26"/>
      <c r="Y159" s="26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</row>
    <row r="160" spans="1:39" hidden="1" x14ac:dyDescent="0.3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40"/>
      <c r="S160" s="38" t="str">
        <f t="shared" si="12"/>
        <v/>
      </c>
      <c r="T160" s="26"/>
      <c r="U160" s="26"/>
      <c r="V160" s="26"/>
      <c r="W160" s="26"/>
      <c r="X160" s="26"/>
      <c r="Y160" s="26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</row>
    <row r="161" spans="2:39" hidden="1" x14ac:dyDescent="0.3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40"/>
      <c r="S161" s="38" t="str">
        <f t="shared" si="12"/>
        <v/>
      </c>
      <c r="T161" s="26"/>
      <c r="U161" s="26"/>
      <c r="V161" s="26"/>
      <c r="W161" s="26"/>
      <c r="X161" s="26"/>
      <c r="Y161" s="26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</row>
  </sheetData>
  <sheetProtection formatCells="0" formatColumns="0" formatRows="0" insertColumns="0" insertRows="0" insertHyperlinks="0" deleteColumns="0" deleteRows="0" sort="0" autoFilter="0" pivotTables="0"/>
  <autoFilter ref="B9:AM161" xr:uid="{00000000-0009-0000-0000-000001000000}">
    <filterColumn colId="0" showButton="0"/>
    <filterColumn colId="1" showButton="0"/>
    <filterColumn colId="2" showButton="0"/>
    <filterColumn colId="3" showButton="0"/>
    <filterColumn colId="20">
      <filters>
        <filter val="09"/>
      </filters>
    </filterColumn>
  </autoFilter>
  <mergeCells count="48">
    <mergeCell ref="AA8:AA9"/>
    <mergeCell ref="G1:N1"/>
    <mergeCell ref="H157:S157"/>
    <mergeCell ref="G3:S4"/>
    <mergeCell ref="N7:N8"/>
    <mergeCell ref="K7:K8"/>
    <mergeCell ref="L7:M7"/>
    <mergeCell ref="G2:S2"/>
    <mergeCell ref="Q5:S5"/>
    <mergeCell ref="Q6:S6"/>
    <mergeCell ref="I6:P6"/>
    <mergeCell ref="O1:S1"/>
    <mergeCell ref="B2:F2"/>
    <mergeCell ref="B6:C6"/>
    <mergeCell ref="B5:C5"/>
    <mergeCell ref="F6:H6"/>
    <mergeCell ref="B157:F157"/>
    <mergeCell ref="AH5:AI6"/>
    <mergeCell ref="AJ5:AK6"/>
    <mergeCell ref="AL5:AM6"/>
    <mergeCell ref="AB5:AE6"/>
    <mergeCell ref="B158:F158"/>
    <mergeCell ref="B9:F9"/>
    <mergeCell ref="G7:G8"/>
    <mergeCell ref="S7:S9"/>
    <mergeCell ref="Y5:Y7"/>
    <mergeCell ref="AF5:AG6"/>
    <mergeCell ref="B7:B8"/>
    <mergeCell ref="C7:C8"/>
    <mergeCell ref="D7:E8"/>
    <mergeCell ref="H7:H8"/>
    <mergeCell ref="I7:I8"/>
    <mergeCell ref="F7:F8"/>
    <mergeCell ref="Z5:Z7"/>
    <mergeCell ref="H156:S156"/>
    <mergeCell ref="J5:N5"/>
    <mergeCell ref="R7:R9"/>
    <mergeCell ref="AA5:AA7"/>
    <mergeCell ref="J7:J8"/>
    <mergeCell ref="Q7:Q9"/>
    <mergeCell ref="T7:T9"/>
    <mergeCell ref="O7:O8"/>
    <mergeCell ref="P7:P9"/>
    <mergeCell ref="U7:U9"/>
    <mergeCell ref="V7:V9"/>
    <mergeCell ref="W7:W9"/>
    <mergeCell ref="X7:X9"/>
    <mergeCell ref="Z8:Z9"/>
  </mergeCells>
  <conditionalFormatting sqref="K10:K27 G10:H128 O10:O27 J10:J128 I10:I155 L10:L155">
    <cfRule type="cellIs" dxfId="107" priority="698" operator="greaterThan">
      <formula>10</formula>
    </cfRule>
  </conditionalFormatting>
  <conditionalFormatting sqref="O10:O27">
    <cfRule type="cellIs" dxfId="106" priority="682" operator="greaterThan">
      <formula>10</formula>
    </cfRule>
    <cfRule type="cellIs" dxfId="105" priority="684" operator="greaterThan">
      <formula>10</formula>
    </cfRule>
    <cfRule type="cellIs" dxfId="104" priority="685" operator="greaterThan">
      <formula>10</formula>
    </cfRule>
    <cfRule type="cellIs" dxfId="103" priority="686" operator="greaterThan">
      <formula>10</formula>
    </cfRule>
    <cfRule type="cellIs" dxfId="102" priority="687" operator="greaterThan">
      <formula>10</formula>
    </cfRule>
    <cfRule type="cellIs" dxfId="101" priority="688" operator="greaterThan">
      <formula>10</formula>
    </cfRule>
  </conditionalFormatting>
  <conditionalFormatting sqref="G10:H128 J10:J128 I10:I155 L10:L155">
    <cfRule type="cellIs" dxfId="100" priority="681" operator="greaterThan">
      <formula>10</formula>
    </cfRule>
  </conditionalFormatting>
  <conditionalFormatting sqref="C162:C1048576 C2:C9">
    <cfRule type="duplicateValues" dxfId="99" priority="702"/>
  </conditionalFormatting>
  <conditionalFormatting sqref="G10:H128 J10:J128 I10:I155 L10:L155">
    <cfRule type="cellIs" priority="659" operator="greaterThan">
      <formula>10</formula>
    </cfRule>
  </conditionalFormatting>
  <conditionalFormatting sqref="N162:N1048576 N9">
    <cfRule type="duplicateValues" dxfId="98" priority="704"/>
  </conditionalFormatting>
  <conditionalFormatting sqref="G129:H155 O129:O155 J129:K155">
    <cfRule type="cellIs" dxfId="97" priority="210" operator="greaterThan">
      <formula>10</formula>
    </cfRule>
  </conditionalFormatting>
  <conditionalFormatting sqref="O129:O155">
    <cfRule type="cellIs" dxfId="96" priority="204" operator="greaterThan">
      <formula>10</formula>
    </cfRule>
    <cfRule type="cellIs" dxfId="95" priority="205" operator="greaterThan">
      <formula>10</formula>
    </cfRule>
    <cfRule type="cellIs" dxfId="94" priority="206" operator="greaterThan">
      <formula>10</formula>
    </cfRule>
    <cfRule type="cellIs" dxfId="93" priority="207" operator="greaterThan">
      <formula>10</formula>
    </cfRule>
    <cfRule type="cellIs" dxfId="92" priority="208" operator="greaterThan">
      <formula>10</formula>
    </cfRule>
    <cfRule type="cellIs" dxfId="91" priority="209" operator="greaterThan">
      <formula>10</formula>
    </cfRule>
  </conditionalFormatting>
  <conditionalFormatting sqref="G129:H155 J129:J155">
    <cfRule type="cellIs" dxfId="90" priority="203" operator="greaterThan">
      <formula>10</formula>
    </cfRule>
  </conditionalFormatting>
  <conditionalFormatting sqref="G129:H155 J129:J155">
    <cfRule type="cellIs" priority="194" operator="greaterThan">
      <formula>10</formula>
    </cfRule>
  </conditionalFormatting>
  <conditionalFormatting sqref="O77:O93 K77:K93">
    <cfRule type="cellIs" dxfId="89" priority="175" operator="greaterThan">
      <formula>10</formula>
    </cfRule>
  </conditionalFormatting>
  <conditionalFormatting sqref="O77:O93">
    <cfRule type="cellIs" dxfId="88" priority="169" operator="greaterThan">
      <formula>10</formula>
    </cfRule>
    <cfRule type="cellIs" dxfId="87" priority="170" operator="greaterThan">
      <formula>10</formula>
    </cfRule>
    <cfRule type="cellIs" dxfId="86" priority="171" operator="greaterThan">
      <formula>10</formula>
    </cfRule>
    <cfRule type="cellIs" dxfId="85" priority="172" operator="greaterThan">
      <formula>10</formula>
    </cfRule>
    <cfRule type="cellIs" dxfId="84" priority="173" operator="greaterThan">
      <formula>10</formula>
    </cfRule>
    <cfRule type="cellIs" dxfId="83" priority="174" operator="greaterThan">
      <formula>10</formula>
    </cfRule>
  </conditionalFormatting>
  <conditionalFormatting sqref="O28:O76 K28:K76">
    <cfRule type="cellIs" dxfId="82" priority="166" operator="greaterThan">
      <formula>10</formula>
    </cfRule>
  </conditionalFormatting>
  <conditionalFormatting sqref="O28:O76">
    <cfRule type="cellIs" dxfId="81" priority="160" operator="greaterThan">
      <formula>10</formula>
    </cfRule>
    <cfRule type="cellIs" dxfId="80" priority="161" operator="greaterThan">
      <formula>10</formula>
    </cfRule>
    <cfRule type="cellIs" dxfId="79" priority="162" operator="greaterThan">
      <formula>10</formula>
    </cfRule>
    <cfRule type="cellIs" dxfId="78" priority="163" operator="greaterThan">
      <formula>10</formula>
    </cfRule>
    <cfRule type="cellIs" dxfId="77" priority="164" operator="greaterThan">
      <formula>10</formula>
    </cfRule>
    <cfRule type="cellIs" dxfId="76" priority="165" operator="greaterThan">
      <formula>10</formula>
    </cfRule>
  </conditionalFormatting>
  <conditionalFormatting sqref="C28:C76">
    <cfRule type="duplicateValues" dxfId="75" priority="167"/>
  </conditionalFormatting>
  <conditionalFormatting sqref="K126:K128 O126:O128 K94:K106 O94:O106">
    <cfRule type="cellIs" dxfId="74" priority="158" operator="greaterThan">
      <formula>10</formula>
    </cfRule>
  </conditionalFormatting>
  <conditionalFormatting sqref="O126:O128 O94:O106">
    <cfRule type="cellIs" dxfId="73" priority="152" operator="greaterThan">
      <formula>10</formula>
    </cfRule>
    <cfRule type="cellIs" dxfId="72" priority="153" operator="greaterThan">
      <formula>10</formula>
    </cfRule>
    <cfRule type="cellIs" dxfId="71" priority="154" operator="greaterThan">
      <formula>10</formula>
    </cfRule>
    <cfRule type="cellIs" dxfId="70" priority="155" operator="greaterThan">
      <formula>10</formula>
    </cfRule>
    <cfRule type="cellIs" dxfId="69" priority="156" operator="greaterThan">
      <formula>10</formula>
    </cfRule>
    <cfRule type="cellIs" dxfId="68" priority="157" operator="greaterThan">
      <formula>10</formula>
    </cfRule>
  </conditionalFormatting>
  <conditionalFormatting sqref="K107:K125 O107:O125">
    <cfRule type="cellIs" dxfId="67" priority="150" operator="greaterThan">
      <formula>10</formula>
    </cfRule>
  </conditionalFormatting>
  <conditionalFormatting sqref="O107:O125">
    <cfRule type="cellIs" dxfId="66" priority="144" operator="greaterThan">
      <formula>10</formula>
    </cfRule>
    <cfRule type="cellIs" dxfId="65" priority="145" operator="greaterThan">
      <formula>10</formula>
    </cfRule>
    <cfRule type="cellIs" dxfId="64" priority="146" operator="greaterThan">
      <formula>10</formula>
    </cfRule>
    <cfRule type="cellIs" dxfId="63" priority="147" operator="greaterThan">
      <formula>10</formula>
    </cfRule>
    <cfRule type="cellIs" dxfId="62" priority="148" operator="greaterThan">
      <formula>10</formula>
    </cfRule>
    <cfRule type="cellIs" dxfId="61" priority="149" operator="greaterThan">
      <formula>10</formula>
    </cfRule>
  </conditionalFormatting>
  <conditionalFormatting sqref="C107:C125">
    <cfRule type="duplicateValues" dxfId="60" priority="151"/>
  </conditionalFormatting>
  <conditionalFormatting sqref="C77:C93 C10:C27">
    <cfRule type="duplicateValues" dxfId="59" priority="176"/>
  </conditionalFormatting>
  <conditionalFormatting sqref="C126:C128 C94:C106">
    <cfRule type="duplicateValues" dxfId="58" priority="177"/>
  </conditionalFormatting>
  <conditionalFormatting sqref="C129:C155">
    <cfRule type="duplicateValues" dxfId="57" priority="784"/>
  </conditionalFormatting>
  <conditionalFormatting sqref="N129:N155">
    <cfRule type="duplicateValues" dxfId="56" priority="785"/>
  </conditionalFormatting>
  <conditionalFormatting sqref="C156 C159:C161">
    <cfRule type="duplicateValues" dxfId="55" priority="788"/>
  </conditionalFormatting>
  <conditionalFormatting sqref="N10:N128">
    <cfRule type="duplicateValues" dxfId="54" priority="807"/>
  </conditionalFormatting>
  <dataValidations count="2">
    <dataValidation allowBlank="1" showInputMessage="1" showErrorMessage="1" errorTitle="Không xóa dữ liệu" error="Không xóa dữ liệu" prompt="Không xóa dữ liệu" sqref="Y4:AM8" xr:uid="{00000000-0002-0000-0100-000000000000}"/>
    <dataValidation showInputMessage="1" showErrorMessage="1" sqref="O1" xr:uid="{00000000-0002-0000-0100-000001000000}"/>
  </dataValidations>
  <pageMargins left="0.47244094488188981" right="3.937007874015748E-2" top="0.43307086614173229" bottom="0.62992125984251968" header="0.15748031496062992" footer="0.11811023622047245"/>
  <pageSetup paperSize="9" scale="78" fitToWidth="0" fitToHeight="0" orientation="portrait" r:id="rId1"/>
  <headerFooter alignWithMargins="0">
    <oddFooter>&amp;R&amp;"Times New Roman,Italic"&amp;11Trang &amp;P</oddFooter>
  </headerFooter>
  <colBreaks count="1" manualBreakCount="1">
    <brk id="1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42BD4-EDFA-4729-8E78-1ECE97FD68D5}">
  <sheetPr codeName="Sheet12" filterMode="1"/>
  <dimension ref="A1:AM161"/>
  <sheetViews>
    <sheetView topLeftCell="Y83" zoomScale="120" zoomScaleNormal="120" workbookViewId="0">
      <selection activeCell="AM114" sqref="AM114"/>
    </sheetView>
  </sheetViews>
  <sheetFormatPr defaultColWidth="9" defaultRowHeight="15.6" x14ac:dyDescent="0.3"/>
  <cols>
    <col min="1" max="1" width="5.69921875" style="1" hidden="1" customWidth="1"/>
    <col min="2" max="2" width="4" style="1" customWidth="1"/>
    <col min="3" max="3" width="11.296875" style="1" customWidth="1"/>
    <col min="4" max="4" width="15.296875" style="1" customWidth="1"/>
    <col min="5" max="5" width="8.296875" style="1" customWidth="1"/>
    <col min="6" max="6" width="11.19921875" style="1" customWidth="1"/>
    <col min="7" max="8" width="5.09765625" style="1" customWidth="1"/>
    <col min="9" max="9" width="3.796875" style="1" customWidth="1"/>
    <col min="10" max="10" width="5.09765625" style="1" customWidth="1"/>
    <col min="11" max="11" width="3.19921875" style="1" customWidth="1"/>
    <col min="12" max="12" width="6.59765625" style="1" customWidth="1"/>
    <col min="13" max="13" width="14.59765625" style="1" customWidth="1"/>
    <col min="14" max="14" width="9.09765625" style="1" hidden="1" customWidth="1"/>
    <col min="15" max="15" width="5.796875" style="1" hidden="1" customWidth="1"/>
    <col min="16" max="16" width="6.5" style="1" hidden="1" customWidth="1"/>
    <col min="17" max="17" width="12.59765625" style="1" customWidth="1"/>
    <col min="18" max="18" width="4.5" style="1" hidden="1" customWidth="1"/>
    <col min="19" max="19" width="5.5" style="1" customWidth="1"/>
    <col min="20" max="20" width="7.69921875" style="1" customWidth="1"/>
    <col min="21" max="21" width="8.69921875" style="1" customWidth="1"/>
    <col min="22" max="22" width="5.19921875" style="1" customWidth="1"/>
    <col min="23" max="23" width="4.796875" style="24" customWidth="1"/>
    <col min="24" max="24" width="9.19921875" style="44" customWidth="1"/>
    <col min="25" max="25" width="5.296875" style="12" customWidth="1"/>
    <col min="26" max="26" width="7.59765625" style="12" customWidth="1"/>
    <col min="27" max="27" width="10.296875" style="12" customWidth="1"/>
    <col min="28" max="28" width="9.09765625" style="12" bestFit="1" customWidth="1"/>
    <col min="29" max="31" width="9" style="12"/>
    <col min="32" max="32" width="7.796875" style="12" customWidth="1"/>
    <col min="33" max="39" width="9" style="12"/>
    <col min="40" max="16384" width="9" style="1"/>
  </cols>
  <sheetData>
    <row r="1" spans="1:39" ht="18" customHeight="1" x14ac:dyDescent="0.3">
      <c r="G1" s="100" t="s">
        <v>8</v>
      </c>
      <c r="H1" s="100"/>
      <c r="I1" s="100"/>
      <c r="J1" s="100"/>
      <c r="K1" s="100"/>
      <c r="L1" s="100"/>
      <c r="M1" s="100"/>
      <c r="N1" s="100"/>
      <c r="O1" s="100" t="str">
        <f>ChargeItem(T10:T155)</f>
        <v>609-A3</v>
      </c>
      <c r="P1" s="100"/>
      <c r="Q1" s="100"/>
      <c r="R1" s="100"/>
      <c r="S1" s="100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22.5" customHeight="1" x14ac:dyDescent="0.35">
      <c r="B2" s="96" t="s">
        <v>9</v>
      </c>
      <c r="C2" s="96"/>
      <c r="D2" s="96"/>
      <c r="E2" s="96"/>
      <c r="F2" s="96"/>
      <c r="G2" s="103" t="s">
        <v>619</v>
      </c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28"/>
      <c r="V2" s="1" t="str">
        <f>'Nhóm(9)'!AC11</f>
        <v>TK</v>
      </c>
      <c r="W2" s="128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8" customHeight="1" x14ac:dyDescent="0.35">
      <c r="B3" s="62"/>
      <c r="C3" s="73" t="s">
        <v>642</v>
      </c>
      <c r="D3" s="66" t="s">
        <v>644</v>
      </c>
      <c r="E3" s="62"/>
      <c r="F3" s="62"/>
      <c r="G3" s="102" t="s">
        <v>37</v>
      </c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28"/>
      <c r="W3" s="128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8" customHeight="1" x14ac:dyDescent="0.3">
      <c r="B4" s="72"/>
      <c r="C4" s="63" t="s">
        <v>643</v>
      </c>
      <c r="D4" s="21"/>
      <c r="E4" s="21"/>
      <c r="F4" s="21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29"/>
      <c r="U4" s="29"/>
      <c r="V4" s="29"/>
      <c r="W4" s="74"/>
      <c r="X4" s="1"/>
      <c r="Y4" s="1"/>
      <c r="Z4" s="1"/>
      <c r="AA4" s="1"/>
      <c r="AB4" s="1"/>
      <c r="AC4" s="1"/>
      <c r="AD4" s="1"/>
      <c r="AE4" s="1"/>
      <c r="AF4" s="129"/>
      <c r="AG4" s="1"/>
      <c r="AH4" s="1"/>
      <c r="AI4" s="1"/>
      <c r="AJ4" s="129"/>
      <c r="AK4" s="1"/>
      <c r="AL4" s="1"/>
      <c r="AM4" s="1"/>
    </row>
    <row r="5" spans="1:39" ht="24" customHeight="1" x14ac:dyDescent="0.3">
      <c r="B5" s="77" t="s">
        <v>10</v>
      </c>
      <c r="C5" s="77"/>
      <c r="D5" s="21" t="s">
        <v>5</v>
      </c>
      <c r="E5" s="21"/>
      <c r="F5" s="21"/>
      <c r="G5" s="21"/>
      <c r="I5" s="21"/>
      <c r="J5" s="77" t="str">
        <f>ChargeItem(U10:U346)</f>
        <v>INT1303</v>
      </c>
      <c r="K5" s="77"/>
      <c r="L5" s="77"/>
      <c r="M5" s="77"/>
      <c r="N5" s="77"/>
      <c r="O5" s="21"/>
      <c r="P5" s="21"/>
      <c r="Q5" s="104" t="str">
        <f>ChargeItem(V10:V346)</f>
        <v>10</v>
      </c>
      <c r="R5" s="104"/>
      <c r="S5" s="104"/>
      <c r="T5" s="21"/>
      <c r="U5" s="21"/>
      <c r="V5" s="21"/>
      <c r="W5" s="21"/>
      <c r="X5" s="1"/>
      <c r="Y5" s="130"/>
      <c r="Z5" s="130"/>
      <c r="AA5" s="130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</row>
    <row r="6" spans="1:39" ht="17.25" customHeight="1" x14ac:dyDescent="0.3">
      <c r="B6" s="97" t="s">
        <v>12</v>
      </c>
      <c r="C6" s="97"/>
      <c r="D6" s="22">
        <v>3</v>
      </c>
      <c r="E6" s="23" t="s">
        <v>13</v>
      </c>
      <c r="F6" s="98" t="str">
        <f>ChargeItem(X10:X155)</f>
        <v>13/06/2024</v>
      </c>
      <c r="G6" s="98"/>
      <c r="H6" s="98"/>
      <c r="I6" s="105" t="s">
        <v>14</v>
      </c>
      <c r="J6" s="105"/>
      <c r="K6" s="105"/>
      <c r="L6" s="105"/>
      <c r="M6" s="105"/>
      <c r="N6" s="105"/>
      <c r="O6" s="105"/>
      <c r="P6" s="105"/>
      <c r="Q6" s="98" t="str">
        <f>ChargeItem(Y10:Y161)</f>
        <v>17:30</v>
      </c>
      <c r="R6" s="98"/>
      <c r="S6" s="98"/>
      <c r="T6" s="33"/>
      <c r="U6" s="111"/>
      <c r="V6" s="45"/>
      <c r="W6" s="21"/>
      <c r="X6" s="1"/>
      <c r="Y6" s="130"/>
      <c r="Z6" s="130"/>
      <c r="AA6" s="130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</row>
    <row r="7" spans="1:39" ht="36" customHeight="1" x14ac:dyDescent="0.3">
      <c r="B7" s="82" t="s">
        <v>15</v>
      </c>
      <c r="C7" s="90" t="s">
        <v>16</v>
      </c>
      <c r="D7" s="92" t="s">
        <v>17</v>
      </c>
      <c r="E7" s="93"/>
      <c r="F7" s="82" t="s">
        <v>11</v>
      </c>
      <c r="G7" s="81" t="s">
        <v>18</v>
      </c>
      <c r="H7" s="81" t="s">
        <v>19</v>
      </c>
      <c r="I7" s="81" t="s">
        <v>20</v>
      </c>
      <c r="J7" s="81" t="s">
        <v>21</v>
      </c>
      <c r="K7" s="85" t="s">
        <v>22</v>
      </c>
      <c r="L7" s="87" t="s">
        <v>23</v>
      </c>
      <c r="M7" s="89"/>
      <c r="N7" s="85" t="s">
        <v>24</v>
      </c>
      <c r="O7" s="85" t="s">
        <v>25</v>
      </c>
      <c r="P7" s="82" t="s">
        <v>26</v>
      </c>
      <c r="Q7" s="82" t="s">
        <v>27</v>
      </c>
      <c r="R7" s="78" t="s">
        <v>38</v>
      </c>
      <c r="S7" s="82" t="s">
        <v>28</v>
      </c>
      <c r="T7" s="82" t="s">
        <v>29</v>
      </c>
      <c r="U7" s="85" t="s">
        <v>32</v>
      </c>
      <c r="V7" s="85" t="s">
        <v>38</v>
      </c>
      <c r="W7" s="85" t="s">
        <v>39</v>
      </c>
      <c r="X7" s="142" t="s">
        <v>646</v>
      </c>
      <c r="Y7" s="143" t="s">
        <v>649</v>
      </c>
      <c r="Z7" s="143" t="s">
        <v>647</v>
      </c>
      <c r="AA7" s="144" t="s">
        <v>648</v>
      </c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3"/>
    </row>
    <row r="8" spans="1:39" ht="36" customHeight="1" x14ac:dyDescent="0.3">
      <c r="B8" s="84"/>
      <c r="C8" s="91"/>
      <c r="D8" s="94"/>
      <c r="E8" s="95"/>
      <c r="F8" s="84"/>
      <c r="G8" s="81"/>
      <c r="H8" s="81"/>
      <c r="I8" s="81"/>
      <c r="J8" s="81"/>
      <c r="K8" s="85"/>
      <c r="L8" s="43" t="s">
        <v>30</v>
      </c>
      <c r="M8" s="43" t="s">
        <v>31</v>
      </c>
      <c r="N8" s="85"/>
      <c r="O8" s="85"/>
      <c r="P8" s="83"/>
      <c r="Q8" s="83"/>
      <c r="R8" s="79"/>
      <c r="S8" s="83"/>
      <c r="T8" s="83"/>
      <c r="U8" s="85"/>
      <c r="V8" s="85"/>
      <c r="W8" s="85"/>
      <c r="X8" s="142"/>
      <c r="Y8" s="143"/>
      <c r="Z8" s="143"/>
      <c r="AA8" s="144"/>
      <c r="AB8" s="129"/>
      <c r="AC8" s="129"/>
      <c r="AD8" s="129"/>
      <c r="AE8" s="134"/>
      <c r="AF8" s="129"/>
      <c r="AG8" s="135"/>
      <c r="AH8" s="136"/>
      <c r="AI8" s="135"/>
      <c r="AJ8" s="136"/>
      <c r="AK8" s="135"/>
      <c r="AL8" s="129"/>
      <c r="AM8" s="134"/>
    </row>
    <row r="9" spans="1:39" ht="16.5" customHeight="1" x14ac:dyDescent="0.3">
      <c r="B9" s="87" t="s">
        <v>33</v>
      </c>
      <c r="C9" s="88"/>
      <c r="D9" s="88"/>
      <c r="E9" s="88"/>
      <c r="F9" s="89"/>
      <c r="G9" s="42">
        <v>10</v>
      </c>
      <c r="H9" s="42">
        <v>10</v>
      </c>
      <c r="I9" s="42">
        <v>0</v>
      </c>
      <c r="J9" s="42">
        <v>20</v>
      </c>
      <c r="K9" s="3"/>
      <c r="L9" s="4"/>
      <c r="M9" s="4"/>
      <c r="N9" s="5"/>
      <c r="O9" s="32">
        <f>100-(G9+H9+I9+J9)</f>
        <v>60</v>
      </c>
      <c r="P9" s="84"/>
      <c r="Q9" s="84"/>
      <c r="R9" s="80"/>
      <c r="S9" s="84"/>
      <c r="T9" s="84"/>
      <c r="U9" s="85"/>
      <c r="V9" s="85"/>
      <c r="W9" s="85"/>
      <c r="X9" s="142"/>
      <c r="Y9" s="143"/>
      <c r="Z9" s="143"/>
      <c r="AA9" s="144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</row>
    <row r="10" spans="1:39" ht="20.25" hidden="1" customHeight="1" x14ac:dyDescent="0.3">
      <c r="A10" s="1">
        <v>584</v>
      </c>
      <c r="B10" s="6">
        <f>IF(LEN(C10=0),SUBTOTAL(3,$C$10:C10),"")</f>
        <v>0</v>
      </c>
      <c r="C10" s="54" t="s">
        <v>92</v>
      </c>
      <c r="D10" s="55" t="s">
        <v>501</v>
      </c>
      <c r="E10" s="56" t="s">
        <v>353</v>
      </c>
      <c r="F10" s="54" t="s">
        <v>359</v>
      </c>
      <c r="G10" s="57">
        <v>9</v>
      </c>
      <c r="H10" s="57">
        <v>7</v>
      </c>
      <c r="I10" s="64" t="s">
        <v>0</v>
      </c>
      <c r="J10" s="57">
        <v>7.5</v>
      </c>
      <c r="K10" s="10"/>
      <c r="L10" s="68">
        <v>8.5</v>
      </c>
      <c r="M10" s="69" t="str">
        <f>IFERROR(LOOKUP(INT(L10),Sheet1!$A$2:$A$12,Sheet1!$B$2:$B$12)&amp;" phẩy "&amp;(LOOKUP(ROUND(L10-INT(L10),1)*10,Sheet1!$A$2:$A$12,Sheet1!$C$2:$C$12)),"")</f>
        <v>Tám phẩy năm</v>
      </c>
      <c r="N10" s="41"/>
      <c r="O10" s="20" t="s">
        <v>0</v>
      </c>
      <c r="P10" s="7">
        <f t="shared" ref="P10:P128" si="0">IF(O10="H","I",IF(OR(O10="DC",O10="C",O10="V"),0,ROUND(SUMPRODUCT(G10:O10,$G$9:$O$9)/100,1)))</f>
        <v>3.1</v>
      </c>
      <c r="Q10" s="8" t="str">
        <f t="shared" ref="Q10:Q128" si="1">IF(OR($G10=0,$H10=0,$I10=0,$J10=0,$S10="Nợ HP"),"Không đủ ĐKDT",IF(AND(O10=0,P10&gt;=4),"Không đạt",IF(O10="V", "Vắng", IF(O10="DC", "Đình chỉ thi",IF(O10="H", "Vắng có phép","")))))</f>
        <v/>
      </c>
      <c r="R10" s="39" t="str">
        <f t="shared" ref="R10:R73" si="2">LEFT(V10,2)</f>
        <v>09</v>
      </c>
      <c r="S10" s="8" t="str">
        <f t="shared" ref="S10:S128" si="3">IFERROR(VLOOKUP($C10,HP,2,0),"")</f>
        <v/>
      </c>
      <c r="T10" s="9" t="s">
        <v>3</v>
      </c>
      <c r="U10" s="27" t="s">
        <v>4</v>
      </c>
      <c r="V10" s="31" t="s">
        <v>575</v>
      </c>
      <c r="W10" s="122" t="s">
        <v>40</v>
      </c>
      <c r="X10" s="122" t="s">
        <v>345</v>
      </c>
      <c r="Y10" s="122" t="s">
        <v>35</v>
      </c>
    </row>
    <row r="11" spans="1:39" ht="20.25" hidden="1" customHeight="1" x14ac:dyDescent="0.3">
      <c r="A11" s="1">
        <v>585</v>
      </c>
      <c r="B11" s="6">
        <f>IF(LEN(C11=0),SUBTOTAL(3,$C$10:C11),"")</f>
        <v>0</v>
      </c>
      <c r="C11" s="54" t="s">
        <v>188</v>
      </c>
      <c r="D11" s="55" t="s">
        <v>518</v>
      </c>
      <c r="E11" s="56" t="s">
        <v>353</v>
      </c>
      <c r="F11" s="54" t="s">
        <v>372</v>
      </c>
      <c r="G11" s="57">
        <v>5</v>
      </c>
      <c r="H11" s="57">
        <v>4</v>
      </c>
      <c r="I11" s="64" t="s">
        <v>0</v>
      </c>
      <c r="J11" s="57">
        <v>3</v>
      </c>
      <c r="K11" s="10"/>
      <c r="L11" s="68" t="s">
        <v>0</v>
      </c>
      <c r="M11" s="69" t="str">
        <f>IFERROR(LOOKUP(INT(L11),Sheet1!$A$2:$A$12,Sheet1!$B$2:$B$12)&amp;" phẩy "&amp;(LOOKUP(ROUND(L11-INT(L11),1)*10,Sheet1!$A$2:$A$12,Sheet1!$C$2:$C$12)),"")</f>
        <v/>
      </c>
      <c r="N11" s="41"/>
      <c r="O11" s="20" t="s">
        <v>0</v>
      </c>
      <c r="P11" s="7">
        <f t="shared" si="0"/>
        <v>1.5</v>
      </c>
      <c r="Q11" s="8" t="str">
        <f t="shared" si="1"/>
        <v/>
      </c>
      <c r="R11" s="39" t="str">
        <f t="shared" si="2"/>
        <v>09</v>
      </c>
      <c r="S11" s="8" t="str">
        <f t="shared" si="3"/>
        <v/>
      </c>
      <c r="T11" s="9" t="s">
        <v>3</v>
      </c>
      <c r="U11" s="27" t="s">
        <v>4</v>
      </c>
      <c r="V11" s="31" t="s">
        <v>575</v>
      </c>
      <c r="W11" s="9" t="s">
        <v>40</v>
      </c>
      <c r="X11" s="9" t="s">
        <v>345</v>
      </c>
      <c r="Y11" s="9" t="s">
        <v>35</v>
      </c>
    </row>
    <row r="12" spans="1:39" ht="20.25" hidden="1" customHeight="1" x14ac:dyDescent="0.3">
      <c r="A12" s="1">
        <v>586</v>
      </c>
      <c r="B12" s="6">
        <f>IF(LEN(C12=0),SUBTOTAL(3,$C$10:C12),"")</f>
        <v>0</v>
      </c>
      <c r="C12" s="54" t="s">
        <v>222</v>
      </c>
      <c r="D12" s="55" t="s">
        <v>512</v>
      </c>
      <c r="E12" s="56" t="s">
        <v>353</v>
      </c>
      <c r="F12" s="54" t="s">
        <v>400</v>
      </c>
      <c r="G12" s="57">
        <v>10</v>
      </c>
      <c r="H12" s="57">
        <v>7.5</v>
      </c>
      <c r="I12" s="64" t="s">
        <v>0</v>
      </c>
      <c r="J12" s="57">
        <v>8.5</v>
      </c>
      <c r="K12" s="10"/>
      <c r="L12" s="68">
        <v>8.6999999999999993</v>
      </c>
      <c r="M12" s="69" t="str">
        <f>IFERROR(LOOKUP(INT(L12),Sheet1!$A$2:$A$12,Sheet1!$B$2:$B$12)&amp;" phẩy "&amp;(LOOKUP(ROUND(L12-INT(L12),1)*10,Sheet1!$A$2:$A$12,Sheet1!$C$2:$C$12)),"")</f>
        <v>Tám phẩy bảy</v>
      </c>
      <c r="N12" s="41"/>
      <c r="O12" s="20" t="s">
        <v>0</v>
      </c>
      <c r="P12" s="7">
        <f t="shared" si="0"/>
        <v>3.5</v>
      </c>
      <c r="Q12" s="8" t="str">
        <f t="shared" si="1"/>
        <v/>
      </c>
      <c r="R12" s="39" t="str">
        <f t="shared" si="2"/>
        <v>09</v>
      </c>
      <c r="S12" s="8" t="str">
        <f t="shared" si="3"/>
        <v/>
      </c>
      <c r="T12" s="9" t="s">
        <v>3</v>
      </c>
      <c r="U12" s="27" t="s">
        <v>4</v>
      </c>
      <c r="V12" s="31" t="s">
        <v>575</v>
      </c>
      <c r="W12" s="9" t="s">
        <v>40</v>
      </c>
      <c r="X12" s="9" t="s">
        <v>345</v>
      </c>
      <c r="Y12" s="9" t="s">
        <v>35</v>
      </c>
    </row>
    <row r="13" spans="1:39" ht="20.25" hidden="1" customHeight="1" x14ac:dyDescent="0.3">
      <c r="A13" s="1">
        <v>587</v>
      </c>
      <c r="B13" s="6">
        <f>IF(LEN(C13=0),SUBTOTAL(3,$C$10:C13),"")</f>
        <v>0</v>
      </c>
      <c r="C13" s="54" t="s">
        <v>152</v>
      </c>
      <c r="D13" s="55" t="s">
        <v>506</v>
      </c>
      <c r="E13" s="56" t="s">
        <v>361</v>
      </c>
      <c r="F13" s="54" t="s">
        <v>359</v>
      </c>
      <c r="G13" s="57">
        <v>10</v>
      </c>
      <c r="H13" s="57">
        <v>8.5</v>
      </c>
      <c r="I13" s="64" t="s">
        <v>0</v>
      </c>
      <c r="J13" s="57">
        <v>8</v>
      </c>
      <c r="K13" s="10"/>
      <c r="L13" s="68">
        <v>8.5</v>
      </c>
      <c r="M13" s="69" t="str">
        <f>IFERROR(LOOKUP(INT(L13),Sheet1!$A$2:$A$12,Sheet1!$B$2:$B$12)&amp;" phẩy "&amp;(LOOKUP(ROUND(L13-INT(L13),1)*10,Sheet1!$A$2:$A$12,Sheet1!$C$2:$C$12)),"")</f>
        <v>Tám phẩy năm</v>
      </c>
      <c r="N13" s="41"/>
      <c r="O13" s="20" t="s">
        <v>0</v>
      </c>
      <c r="P13" s="7">
        <f t="shared" si="0"/>
        <v>3.5</v>
      </c>
      <c r="Q13" s="8" t="str">
        <f t="shared" si="1"/>
        <v/>
      </c>
      <c r="R13" s="39" t="str">
        <f t="shared" si="2"/>
        <v>09</v>
      </c>
      <c r="S13" s="8" t="str">
        <f t="shared" si="3"/>
        <v/>
      </c>
      <c r="T13" s="9" t="s">
        <v>3</v>
      </c>
      <c r="U13" s="27" t="s">
        <v>4</v>
      </c>
      <c r="V13" s="31" t="s">
        <v>575</v>
      </c>
      <c r="W13" s="9" t="s">
        <v>40</v>
      </c>
      <c r="X13" s="9" t="s">
        <v>345</v>
      </c>
      <c r="Y13" s="9" t="s">
        <v>35</v>
      </c>
    </row>
    <row r="14" spans="1:39" ht="20.25" hidden="1" customHeight="1" x14ac:dyDescent="0.3">
      <c r="A14" s="1">
        <v>588</v>
      </c>
      <c r="B14" s="6">
        <f>IF(LEN(C14=0),SUBTOTAL(3,$C$10:C14),"")</f>
        <v>0</v>
      </c>
      <c r="C14" s="54" t="s">
        <v>185</v>
      </c>
      <c r="D14" s="55" t="s">
        <v>519</v>
      </c>
      <c r="E14" s="56" t="s">
        <v>520</v>
      </c>
      <c r="F14" s="54" t="s">
        <v>364</v>
      </c>
      <c r="G14" s="57">
        <v>6</v>
      </c>
      <c r="H14" s="57">
        <v>4</v>
      </c>
      <c r="I14" s="64" t="s">
        <v>0</v>
      </c>
      <c r="J14" s="57">
        <v>4</v>
      </c>
      <c r="K14" s="10"/>
      <c r="L14" s="68">
        <v>6.3</v>
      </c>
      <c r="M14" s="69" t="str">
        <f>IFERROR(LOOKUP(INT(L14),Sheet1!$A$2:$A$12,Sheet1!$B$2:$B$12)&amp;" phẩy "&amp;(LOOKUP(ROUND(L14-INT(L14),1)*10,Sheet1!$A$2:$A$12,Sheet1!$C$2:$C$12)),"")</f>
        <v>Sáu phẩy ba</v>
      </c>
      <c r="N14" s="41"/>
      <c r="O14" s="20" t="s">
        <v>0</v>
      </c>
      <c r="P14" s="7">
        <f t="shared" si="0"/>
        <v>1.8</v>
      </c>
      <c r="Q14" s="8" t="str">
        <f t="shared" si="1"/>
        <v/>
      </c>
      <c r="R14" s="39" t="str">
        <f t="shared" si="2"/>
        <v>09</v>
      </c>
      <c r="S14" s="8" t="str">
        <f t="shared" si="3"/>
        <v/>
      </c>
      <c r="T14" s="9" t="s">
        <v>3</v>
      </c>
      <c r="U14" s="27" t="s">
        <v>4</v>
      </c>
      <c r="V14" s="31" t="s">
        <v>575</v>
      </c>
      <c r="W14" s="9" t="s">
        <v>40</v>
      </c>
      <c r="X14" s="9" t="s">
        <v>345</v>
      </c>
      <c r="Y14" s="9" t="s">
        <v>35</v>
      </c>
    </row>
    <row r="15" spans="1:39" ht="20.25" hidden="1" customHeight="1" x14ac:dyDescent="0.3">
      <c r="A15" s="1">
        <v>589</v>
      </c>
      <c r="B15" s="6">
        <f>IF(LEN(C15=0),SUBTOTAL(3,$C$10:C15),"")</f>
        <v>0</v>
      </c>
      <c r="C15" s="54" t="s">
        <v>108</v>
      </c>
      <c r="D15" s="55" t="s">
        <v>521</v>
      </c>
      <c r="E15" s="56" t="s">
        <v>522</v>
      </c>
      <c r="F15" s="54" t="s">
        <v>372</v>
      </c>
      <c r="G15" s="57">
        <v>9</v>
      </c>
      <c r="H15" s="57">
        <v>7.5</v>
      </c>
      <c r="I15" s="64" t="s">
        <v>0</v>
      </c>
      <c r="J15" s="57">
        <v>8.5</v>
      </c>
      <c r="K15" s="10"/>
      <c r="L15" s="68">
        <v>6.7</v>
      </c>
      <c r="M15" s="69" t="str">
        <f>IFERROR(LOOKUP(INT(L15),Sheet1!$A$2:$A$12,Sheet1!$B$2:$B$12)&amp;" phẩy "&amp;(LOOKUP(ROUND(L15-INT(L15),1)*10,Sheet1!$A$2:$A$12,Sheet1!$C$2:$C$12)),"")</f>
        <v>Sáu phẩy bảy</v>
      </c>
      <c r="N15" s="41"/>
      <c r="O15" s="20" t="s">
        <v>0</v>
      </c>
      <c r="P15" s="7">
        <f t="shared" si="0"/>
        <v>3.4</v>
      </c>
      <c r="Q15" s="8" t="str">
        <f t="shared" si="1"/>
        <v/>
      </c>
      <c r="R15" s="39" t="str">
        <f t="shared" si="2"/>
        <v>09</v>
      </c>
      <c r="S15" s="8" t="str">
        <f t="shared" si="3"/>
        <v/>
      </c>
      <c r="T15" s="9" t="s">
        <v>3</v>
      </c>
      <c r="U15" s="27" t="s">
        <v>4</v>
      </c>
      <c r="V15" s="31" t="s">
        <v>575</v>
      </c>
      <c r="W15" s="9" t="s">
        <v>40</v>
      </c>
      <c r="X15" s="9" t="s">
        <v>345</v>
      </c>
      <c r="Y15" s="9" t="s">
        <v>35</v>
      </c>
    </row>
    <row r="16" spans="1:39" ht="20.25" hidden="1" customHeight="1" x14ac:dyDescent="0.3">
      <c r="A16" s="1">
        <v>590</v>
      </c>
      <c r="B16" s="6">
        <f>IF(LEN(C16=0),SUBTOTAL(3,$C$10:C16),"")</f>
        <v>0</v>
      </c>
      <c r="C16" s="54" t="s">
        <v>124</v>
      </c>
      <c r="D16" s="55" t="s">
        <v>517</v>
      </c>
      <c r="E16" s="56" t="s">
        <v>368</v>
      </c>
      <c r="F16" s="54" t="s">
        <v>413</v>
      </c>
      <c r="G16" s="57">
        <v>10</v>
      </c>
      <c r="H16" s="57">
        <v>8</v>
      </c>
      <c r="I16" s="64" t="s">
        <v>0</v>
      </c>
      <c r="J16" s="57">
        <v>7.5</v>
      </c>
      <c r="K16" s="10"/>
      <c r="L16" s="68">
        <v>8</v>
      </c>
      <c r="M16" s="69" t="str">
        <f>IFERROR(LOOKUP(INT(L16),Sheet1!$A$2:$A$12,Sheet1!$B$2:$B$12)&amp;" phẩy "&amp;(LOOKUP(ROUND(L16-INT(L16),1)*10,Sheet1!$A$2:$A$12,Sheet1!$C$2:$C$12)),"")</f>
        <v>Tám phẩy không</v>
      </c>
      <c r="N16" s="41"/>
      <c r="O16" s="20" t="s">
        <v>0</v>
      </c>
      <c r="P16" s="7">
        <f t="shared" si="0"/>
        <v>3.3</v>
      </c>
      <c r="Q16" s="8" t="str">
        <f t="shared" si="1"/>
        <v/>
      </c>
      <c r="R16" s="39" t="str">
        <f t="shared" si="2"/>
        <v>09</v>
      </c>
      <c r="S16" s="8" t="str">
        <f t="shared" si="3"/>
        <v/>
      </c>
      <c r="T16" s="9" t="s">
        <v>3</v>
      </c>
      <c r="U16" s="27" t="s">
        <v>4</v>
      </c>
      <c r="V16" s="31" t="s">
        <v>575</v>
      </c>
      <c r="W16" s="9" t="s">
        <v>40</v>
      </c>
      <c r="X16" s="9" t="s">
        <v>345</v>
      </c>
      <c r="Y16" s="9" t="s">
        <v>35</v>
      </c>
    </row>
    <row r="17" spans="1:25" ht="20.25" hidden="1" customHeight="1" x14ac:dyDescent="0.3">
      <c r="A17" s="1">
        <v>591</v>
      </c>
      <c r="B17" s="6">
        <f>IF(LEN(C17=0),SUBTOTAL(3,$C$10:C17),"")</f>
        <v>0</v>
      </c>
      <c r="C17" s="54" t="s">
        <v>154</v>
      </c>
      <c r="D17" s="55" t="s">
        <v>523</v>
      </c>
      <c r="E17" s="56" t="s">
        <v>371</v>
      </c>
      <c r="F17" s="54" t="s">
        <v>359</v>
      </c>
      <c r="G17" s="57">
        <v>10</v>
      </c>
      <c r="H17" s="57">
        <v>8.5</v>
      </c>
      <c r="I17" s="64" t="s">
        <v>0</v>
      </c>
      <c r="J17" s="57">
        <v>8</v>
      </c>
      <c r="K17" s="10"/>
      <c r="L17" s="68">
        <v>7.7</v>
      </c>
      <c r="M17" s="69" t="str">
        <f>IFERROR(LOOKUP(INT(L17),Sheet1!$A$2:$A$12,Sheet1!$B$2:$B$12)&amp;" phẩy "&amp;(LOOKUP(ROUND(L17-INT(L17),1)*10,Sheet1!$A$2:$A$12,Sheet1!$C$2:$C$12)),"")</f>
        <v>Bảy phẩy bảy</v>
      </c>
      <c r="N17" s="41"/>
      <c r="O17" s="20" t="s">
        <v>0</v>
      </c>
      <c r="P17" s="7">
        <f t="shared" si="0"/>
        <v>3.5</v>
      </c>
      <c r="Q17" s="8" t="str">
        <f t="shared" si="1"/>
        <v/>
      </c>
      <c r="R17" s="39" t="str">
        <f t="shared" si="2"/>
        <v>09</v>
      </c>
      <c r="S17" s="8" t="str">
        <f t="shared" si="3"/>
        <v/>
      </c>
      <c r="T17" s="9" t="s">
        <v>3</v>
      </c>
      <c r="U17" s="27" t="s">
        <v>4</v>
      </c>
      <c r="V17" s="31" t="s">
        <v>575</v>
      </c>
      <c r="W17" s="9" t="s">
        <v>40</v>
      </c>
      <c r="X17" s="9" t="s">
        <v>345</v>
      </c>
      <c r="Y17" s="9" t="s">
        <v>35</v>
      </c>
    </row>
    <row r="18" spans="1:25" ht="20.25" hidden="1" customHeight="1" x14ac:dyDescent="0.3">
      <c r="A18" s="1">
        <v>592</v>
      </c>
      <c r="B18" s="6">
        <f>IF(LEN(C18=0),SUBTOTAL(3,$C$10:C18),"")</f>
        <v>0</v>
      </c>
      <c r="C18" s="54" t="s">
        <v>172</v>
      </c>
      <c r="D18" s="55" t="s">
        <v>503</v>
      </c>
      <c r="E18" s="56" t="s">
        <v>378</v>
      </c>
      <c r="F18" s="54" t="s">
        <v>413</v>
      </c>
      <c r="G18" s="57">
        <v>10</v>
      </c>
      <c r="H18" s="57">
        <v>8</v>
      </c>
      <c r="I18" s="64" t="s">
        <v>0</v>
      </c>
      <c r="J18" s="57">
        <v>7.5</v>
      </c>
      <c r="K18" s="10"/>
      <c r="L18" s="68">
        <v>8.5</v>
      </c>
      <c r="M18" s="69" t="str">
        <f>IFERROR(LOOKUP(INT(L18),Sheet1!$A$2:$A$12,Sheet1!$B$2:$B$12)&amp;" phẩy "&amp;(LOOKUP(ROUND(L18-INT(L18),1)*10,Sheet1!$A$2:$A$12,Sheet1!$C$2:$C$12)),"")</f>
        <v>Tám phẩy năm</v>
      </c>
      <c r="N18" s="41"/>
      <c r="O18" s="20" t="s">
        <v>0</v>
      </c>
      <c r="P18" s="7">
        <f t="shared" si="0"/>
        <v>3.3</v>
      </c>
      <c r="Q18" s="8" t="str">
        <f t="shared" si="1"/>
        <v/>
      </c>
      <c r="R18" s="39" t="str">
        <f t="shared" si="2"/>
        <v>09</v>
      </c>
      <c r="S18" s="8" t="str">
        <f t="shared" si="3"/>
        <v/>
      </c>
      <c r="T18" s="9" t="s">
        <v>3</v>
      </c>
      <c r="U18" s="27" t="s">
        <v>4</v>
      </c>
      <c r="V18" s="31" t="s">
        <v>575</v>
      </c>
      <c r="W18" s="9" t="s">
        <v>40</v>
      </c>
      <c r="X18" s="9" t="s">
        <v>345</v>
      </c>
      <c r="Y18" s="9" t="s">
        <v>35</v>
      </c>
    </row>
    <row r="19" spans="1:25" ht="20.25" hidden="1" customHeight="1" x14ac:dyDescent="0.3">
      <c r="A19" s="1">
        <v>593</v>
      </c>
      <c r="B19" s="6">
        <f>IF(LEN(C19=0),SUBTOTAL(3,$C$10:C19),"")</f>
        <v>0</v>
      </c>
      <c r="C19" s="54" t="s">
        <v>215</v>
      </c>
      <c r="D19" s="55" t="s">
        <v>484</v>
      </c>
      <c r="E19" s="56" t="s">
        <v>378</v>
      </c>
      <c r="F19" s="54" t="s">
        <v>359</v>
      </c>
      <c r="G19" s="57">
        <v>8</v>
      </c>
      <c r="H19" s="57">
        <v>8</v>
      </c>
      <c r="I19" s="64" t="s">
        <v>0</v>
      </c>
      <c r="J19" s="57">
        <v>7.5</v>
      </c>
      <c r="K19" s="10"/>
      <c r="L19" s="68">
        <v>6.8</v>
      </c>
      <c r="M19" s="69" t="str">
        <f>IFERROR(LOOKUP(INT(L19),Sheet1!$A$2:$A$12,Sheet1!$B$2:$B$12)&amp;" phẩy "&amp;(LOOKUP(ROUND(L19-INT(L19),1)*10,Sheet1!$A$2:$A$12,Sheet1!$C$2:$C$12)),"")</f>
        <v>Sáu phẩy tám</v>
      </c>
      <c r="N19" s="41"/>
      <c r="O19" s="20" t="s">
        <v>0</v>
      </c>
      <c r="P19" s="7">
        <f t="shared" si="0"/>
        <v>3.1</v>
      </c>
      <c r="Q19" s="8" t="str">
        <f t="shared" si="1"/>
        <v/>
      </c>
      <c r="R19" s="39" t="str">
        <f t="shared" si="2"/>
        <v>09</v>
      </c>
      <c r="S19" s="8" t="str">
        <f t="shared" si="3"/>
        <v/>
      </c>
      <c r="T19" s="9" t="s">
        <v>3</v>
      </c>
      <c r="U19" s="27" t="s">
        <v>4</v>
      </c>
      <c r="V19" s="31" t="s">
        <v>575</v>
      </c>
      <c r="W19" s="9" t="s">
        <v>40</v>
      </c>
      <c r="X19" s="9" t="s">
        <v>345</v>
      </c>
      <c r="Y19" s="9" t="s">
        <v>35</v>
      </c>
    </row>
    <row r="20" spans="1:25" ht="20.25" hidden="1" customHeight="1" x14ac:dyDescent="0.3">
      <c r="A20" s="1">
        <v>594</v>
      </c>
      <c r="B20" s="6">
        <f>IF(LEN(C20=0),SUBTOTAL(3,$C$10:C20),"")</f>
        <v>0</v>
      </c>
      <c r="C20" s="54" t="s">
        <v>205</v>
      </c>
      <c r="D20" s="55" t="s">
        <v>405</v>
      </c>
      <c r="E20" s="56" t="s">
        <v>378</v>
      </c>
      <c r="F20" s="54" t="s">
        <v>413</v>
      </c>
      <c r="G20" s="57">
        <v>9</v>
      </c>
      <c r="H20" s="57">
        <v>8</v>
      </c>
      <c r="I20" s="64" t="s">
        <v>0</v>
      </c>
      <c r="J20" s="57">
        <v>7.5</v>
      </c>
      <c r="K20" s="10"/>
      <c r="L20" s="68">
        <v>8</v>
      </c>
      <c r="M20" s="69" t="str">
        <f>IFERROR(LOOKUP(INT(L20),Sheet1!$A$2:$A$12,Sheet1!$B$2:$B$12)&amp;" phẩy "&amp;(LOOKUP(ROUND(L20-INT(L20),1)*10,Sheet1!$A$2:$A$12,Sheet1!$C$2:$C$12)),"")</f>
        <v>Tám phẩy không</v>
      </c>
      <c r="N20" s="41"/>
      <c r="O20" s="20" t="s">
        <v>0</v>
      </c>
      <c r="P20" s="7">
        <f t="shared" si="0"/>
        <v>3.2</v>
      </c>
      <c r="Q20" s="8" t="str">
        <f t="shared" si="1"/>
        <v/>
      </c>
      <c r="R20" s="39" t="str">
        <f t="shared" si="2"/>
        <v>09</v>
      </c>
      <c r="S20" s="8" t="str">
        <f t="shared" si="3"/>
        <v/>
      </c>
      <c r="T20" s="9" t="s">
        <v>3</v>
      </c>
      <c r="U20" s="27" t="s">
        <v>4</v>
      </c>
      <c r="V20" s="31" t="s">
        <v>575</v>
      </c>
      <c r="W20" s="9" t="s">
        <v>40</v>
      </c>
      <c r="X20" s="9" t="s">
        <v>345</v>
      </c>
      <c r="Y20" s="9" t="s">
        <v>35</v>
      </c>
    </row>
    <row r="21" spans="1:25" ht="20.25" hidden="1" customHeight="1" x14ac:dyDescent="0.3">
      <c r="A21" s="1">
        <v>595</v>
      </c>
      <c r="B21" s="6">
        <f>IF(LEN(C21=0),SUBTOTAL(3,$C$10:C21),"")</f>
        <v>0</v>
      </c>
      <c r="C21" s="54" t="s">
        <v>246</v>
      </c>
      <c r="D21" s="55" t="s">
        <v>524</v>
      </c>
      <c r="E21" s="56" t="s">
        <v>381</v>
      </c>
      <c r="F21" s="54" t="s">
        <v>400</v>
      </c>
      <c r="G21" s="57">
        <v>9</v>
      </c>
      <c r="H21" s="57">
        <v>7.5</v>
      </c>
      <c r="I21" s="64" t="s">
        <v>0</v>
      </c>
      <c r="J21" s="57">
        <v>8.5</v>
      </c>
      <c r="K21" s="10"/>
      <c r="L21" s="68">
        <v>8.1999999999999993</v>
      </c>
      <c r="M21" s="69" t="str">
        <f>IFERROR(LOOKUP(INT(L21),Sheet1!$A$2:$A$12,Sheet1!$B$2:$B$12)&amp;" phẩy "&amp;(LOOKUP(ROUND(L21-INT(L21),1)*10,Sheet1!$A$2:$A$12,Sheet1!$C$2:$C$12)),"")</f>
        <v>Tám phẩy hai</v>
      </c>
      <c r="N21" s="41"/>
      <c r="O21" s="20" t="s">
        <v>0</v>
      </c>
      <c r="P21" s="7">
        <f t="shared" si="0"/>
        <v>3.4</v>
      </c>
      <c r="Q21" s="8" t="str">
        <f t="shared" si="1"/>
        <v/>
      </c>
      <c r="R21" s="39" t="str">
        <f t="shared" si="2"/>
        <v>09</v>
      </c>
      <c r="S21" s="8" t="str">
        <f t="shared" si="3"/>
        <v/>
      </c>
      <c r="T21" s="9" t="s">
        <v>3</v>
      </c>
      <c r="U21" s="27" t="s">
        <v>4</v>
      </c>
      <c r="V21" s="31" t="s">
        <v>575</v>
      </c>
      <c r="W21" s="9" t="s">
        <v>40</v>
      </c>
      <c r="X21" s="9" t="s">
        <v>345</v>
      </c>
      <c r="Y21" s="9" t="s">
        <v>35</v>
      </c>
    </row>
    <row r="22" spans="1:25" ht="20.25" hidden="1" customHeight="1" x14ac:dyDescent="0.3">
      <c r="A22" s="1">
        <v>596</v>
      </c>
      <c r="B22" s="6">
        <f>IF(LEN(C22=0),SUBTOTAL(3,$C$10:C22),"")</f>
        <v>0</v>
      </c>
      <c r="C22" s="54" t="s">
        <v>183</v>
      </c>
      <c r="D22" s="55" t="s">
        <v>485</v>
      </c>
      <c r="E22" s="56" t="s">
        <v>381</v>
      </c>
      <c r="F22" s="54" t="s">
        <v>385</v>
      </c>
      <c r="G22" s="57">
        <v>9</v>
      </c>
      <c r="H22" s="57">
        <v>7.5</v>
      </c>
      <c r="I22" s="64" t="s">
        <v>0</v>
      </c>
      <c r="J22" s="57">
        <v>7</v>
      </c>
      <c r="K22" s="10"/>
      <c r="L22" s="68">
        <v>8.5</v>
      </c>
      <c r="M22" s="69" t="str">
        <f>IFERROR(LOOKUP(INT(L22),Sheet1!$A$2:$A$12,Sheet1!$B$2:$B$12)&amp;" phẩy "&amp;(LOOKUP(ROUND(L22-INT(L22),1)*10,Sheet1!$A$2:$A$12,Sheet1!$C$2:$C$12)),"")</f>
        <v>Tám phẩy năm</v>
      </c>
      <c r="N22" s="41"/>
      <c r="O22" s="20" t="s">
        <v>0</v>
      </c>
      <c r="P22" s="7">
        <f t="shared" si="0"/>
        <v>3.1</v>
      </c>
      <c r="Q22" s="8" t="str">
        <f t="shared" si="1"/>
        <v/>
      </c>
      <c r="R22" s="39" t="str">
        <f t="shared" si="2"/>
        <v>09</v>
      </c>
      <c r="S22" s="8" t="str">
        <f t="shared" si="3"/>
        <v/>
      </c>
      <c r="T22" s="9" t="s">
        <v>3</v>
      </c>
      <c r="U22" s="27" t="s">
        <v>4</v>
      </c>
      <c r="V22" s="31" t="s">
        <v>575</v>
      </c>
      <c r="W22" s="9" t="s">
        <v>40</v>
      </c>
      <c r="X22" s="9" t="s">
        <v>345</v>
      </c>
      <c r="Y22" s="9" t="s">
        <v>35</v>
      </c>
    </row>
    <row r="23" spans="1:25" ht="20.25" hidden="1" customHeight="1" x14ac:dyDescent="0.3">
      <c r="A23" s="1">
        <v>597</v>
      </c>
      <c r="B23" s="6">
        <f>IF(LEN(C23=0),SUBTOTAL(3,$C$10:C23),"")</f>
        <v>0</v>
      </c>
      <c r="C23" s="54" t="s">
        <v>216</v>
      </c>
      <c r="D23" s="55" t="s">
        <v>416</v>
      </c>
      <c r="E23" s="56" t="s">
        <v>381</v>
      </c>
      <c r="F23" s="54" t="s">
        <v>413</v>
      </c>
      <c r="G23" s="57">
        <v>10</v>
      </c>
      <c r="H23" s="57">
        <v>3</v>
      </c>
      <c r="I23" s="64" t="s">
        <v>0</v>
      </c>
      <c r="J23" s="57">
        <v>3</v>
      </c>
      <c r="K23" s="10"/>
      <c r="L23" s="68">
        <v>7.2</v>
      </c>
      <c r="M23" s="69" t="str">
        <f>IFERROR(LOOKUP(INT(L23),Sheet1!$A$2:$A$12,Sheet1!$B$2:$B$12)&amp;" phẩy "&amp;(LOOKUP(ROUND(L23-INT(L23),1)*10,Sheet1!$A$2:$A$12,Sheet1!$C$2:$C$12)),"")</f>
        <v>Bảy phẩy hai</v>
      </c>
      <c r="N23" s="41"/>
      <c r="O23" s="20" t="s">
        <v>0</v>
      </c>
      <c r="P23" s="7">
        <f t="shared" si="0"/>
        <v>1.9</v>
      </c>
      <c r="Q23" s="8" t="str">
        <f t="shared" si="1"/>
        <v/>
      </c>
      <c r="R23" s="39" t="str">
        <f t="shared" si="2"/>
        <v>09</v>
      </c>
      <c r="S23" s="8" t="str">
        <f t="shared" si="3"/>
        <v/>
      </c>
      <c r="T23" s="9" t="s">
        <v>3</v>
      </c>
      <c r="U23" s="27" t="s">
        <v>4</v>
      </c>
      <c r="V23" s="31" t="s">
        <v>575</v>
      </c>
      <c r="W23" s="9" t="s">
        <v>40</v>
      </c>
      <c r="X23" s="9" t="s">
        <v>345</v>
      </c>
      <c r="Y23" s="9" t="s">
        <v>35</v>
      </c>
    </row>
    <row r="24" spans="1:25" ht="20.25" hidden="1" customHeight="1" x14ac:dyDescent="0.3">
      <c r="A24" s="1">
        <v>598</v>
      </c>
      <c r="B24" s="6">
        <f>IF(LEN(C24=0),SUBTOTAL(3,$C$10:C24),"")</f>
        <v>0</v>
      </c>
      <c r="C24" s="54" t="s">
        <v>199</v>
      </c>
      <c r="D24" s="55" t="s">
        <v>499</v>
      </c>
      <c r="E24" s="56" t="s">
        <v>383</v>
      </c>
      <c r="F24" s="54" t="s">
        <v>366</v>
      </c>
      <c r="G24" s="57">
        <v>7</v>
      </c>
      <c r="H24" s="57">
        <v>8</v>
      </c>
      <c r="I24" s="64" t="s">
        <v>0</v>
      </c>
      <c r="J24" s="57">
        <v>7</v>
      </c>
      <c r="K24" s="10"/>
      <c r="L24" s="68">
        <v>8</v>
      </c>
      <c r="M24" s="69" t="str">
        <f>IFERROR(LOOKUP(INT(L24),Sheet1!$A$2:$A$12,Sheet1!$B$2:$B$12)&amp;" phẩy "&amp;(LOOKUP(ROUND(L24-INT(L24),1)*10,Sheet1!$A$2:$A$12,Sheet1!$C$2:$C$12)),"")</f>
        <v>Tám phẩy không</v>
      </c>
      <c r="N24" s="41"/>
      <c r="O24" s="20" t="s">
        <v>0</v>
      </c>
      <c r="P24" s="7">
        <f t="shared" si="0"/>
        <v>2.9</v>
      </c>
      <c r="Q24" s="8" t="str">
        <f t="shared" si="1"/>
        <v/>
      </c>
      <c r="R24" s="39" t="str">
        <f t="shared" si="2"/>
        <v>09</v>
      </c>
      <c r="S24" s="8" t="str">
        <f t="shared" si="3"/>
        <v/>
      </c>
      <c r="T24" s="9" t="s">
        <v>3</v>
      </c>
      <c r="U24" s="27" t="s">
        <v>4</v>
      </c>
      <c r="V24" s="31" t="s">
        <v>575</v>
      </c>
      <c r="W24" s="9" t="s">
        <v>40</v>
      </c>
      <c r="X24" s="9" t="s">
        <v>345</v>
      </c>
      <c r="Y24" s="9" t="s">
        <v>35</v>
      </c>
    </row>
    <row r="25" spans="1:25" ht="20.25" hidden="1" customHeight="1" x14ac:dyDescent="0.3">
      <c r="A25" s="1">
        <v>599</v>
      </c>
      <c r="B25" s="6">
        <f>IF(LEN(C25=0),SUBTOTAL(3,$C$10:C25),"")</f>
        <v>0</v>
      </c>
      <c r="C25" s="54" t="s">
        <v>242</v>
      </c>
      <c r="D25" s="55" t="s">
        <v>525</v>
      </c>
      <c r="E25" s="56" t="s">
        <v>526</v>
      </c>
      <c r="F25" s="54" t="s">
        <v>359</v>
      </c>
      <c r="G25" s="57">
        <v>9</v>
      </c>
      <c r="H25" s="57">
        <v>7.5</v>
      </c>
      <c r="I25" s="64" t="s">
        <v>0</v>
      </c>
      <c r="J25" s="57">
        <v>8.5</v>
      </c>
      <c r="K25" s="10"/>
      <c r="L25" s="68">
        <v>7.8</v>
      </c>
      <c r="M25" s="69" t="str">
        <f>IFERROR(LOOKUP(INT(L25),Sheet1!$A$2:$A$12,Sheet1!$B$2:$B$12)&amp;" phẩy "&amp;(LOOKUP(ROUND(L25-INT(L25),1)*10,Sheet1!$A$2:$A$12,Sheet1!$C$2:$C$12)),"")</f>
        <v>Bảy phẩy tám</v>
      </c>
      <c r="N25" s="41"/>
      <c r="O25" s="20" t="s">
        <v>0</v>
      </c>
      <c r="P25" s="7">
        <f t="shared" si="0"/>
        <v>3.4</v>
      </c>
      <c r="Q25" s="8" t="str">
        <f t="shared" si="1"/>
        <v/>
      </c>
      <c r="R25" s="39" t="str">
        <f t="shared" si="2"/>
        <v>09</v>
      </c>
      <c r="S25" s="8" t="str">
        <f t="shared" si="3"/>
        <v/>
      </c>
      <c r="T25" s="9" t="s">
        <v>3</v>
      </c>
      <c r="U25" s="27" t="s">
        <v>4</v>
      </c>
      <c r="V25" s="31" t="s">
        <v>575</v>
      </c>
      <c r="W25" s="9" t="s">
        <v>40</v>
      </c>
      <c r="X25" s="9" t="s">
        <v>345</v>
      </c>
      <c r="Y25" s="9" t="s">
        <v>35</v>
      </c>
    </row>
    <row r="26" spans="1:25" ht="20.25" hidden="1" customHeight="1" x14ac:dyDescent="0.3">
      <c r="A26" s="1">
        <v>600</v>
      </c>
      <c r="B26" s="6">
        <f>IF(LEN(C26=0),SUBTOTAL(3,$C$10:C26),"")</f>
        <v>0</v>
      </c>
      <c r="C26" s="54" t="s">
        <v>248</v>
      </c>
      <c r="D26" s="55" t="s">
        <v>493</v>
      </c>
      <c r="E26" s="56" t="s">
        <v>483</v>
      </c>
      <c r="F26" s="54" t="s">
        <v>413</v>
      </c>
      <c r="G26" s="57">
        <v>2</v>
      </c>
      <c r="H26" s="57">
        <v>1</v>
      </c>
      <c r="I26" s="64" t="s">
        <v>0</v>
      </c>
      <c r="J26" s="57">
        <v>1</v>
      </c>
      <c r="K26" s="10"/>
      <c r="L26" s="68" t="s">
        <v>0</v>
      </c>
      <c r="M26" s="69" t="str">
        <f>IFERROR(LOOKUP(INT(L26),Sheet1!$A$2:$A$12,Sheet1!$B$2:$B$12)&amp;" phẩy "&amp;(LOOKUP(ROUND(L26-INT(L26),1)*10,Sheet1!$A$2:$A$12,Sheet1!$C$2:$C$12)),"")</f>
        <v/>
      </c>
      <c r="N26" s="41"/>
      <c r="O26" s="20" t="s">
        <v>0</v>
      </c>
      <c r="P26" s="7">
        <f t="shared" si="0"/>
        <v>0.5</v>
      </c>
      <c r="Q26" s="8" t="str">
        <f t="shared" si="1"/>
        <v>Không đủ ĐKDT</v>
      </c>
      <c r="R26" s="39" t="str">
        <f t="shared" si="2"/>
        <v>09</v>
      </c>
      <c r="S26" s="8" t="str">
        <f t="shared" si="3"/>
        <v>Nợ HP</v>
      </c>
      <c r="T26" s="9" t="s">
        <v>3</v>
      </c>
      <c r="U26" s="27" t="s">
        <v>4</v>
      </c>
      <c r="V26" s="31" t="s">
        <v>575</v>
      </c>
      <c r="W26" s="9" t="s">
        <v>40</v>
      </c>
      <c r="X26" s="9" t="s">
        <v>345</v>
      </c>
      <c r="Y26" s="9" t="s">
        <v>35</v>
      </c>
    </row>
    <row r="27" spans="1:25" ht="20.25" hidden="1" customHeight="1" x14ac:dyDescent="0.3">
      <c r="A27" s="1">
        <v>601</v>
      </c>
      <c r="B27" s="6">
        <f>IF(LEN(C27=0),SUBTOTAL(3,$C$10:C27),"")</f>
        <v>0</v>
      </c>
      <c r="C27" s="54" t="s">
        <v>101</v>
      </c>
      <c r="D27" s="55" t="s">
        <v>511</v>
      </c>
      <c r="E27" s="56" t="s">
        <v>483</v>
      </c>
      <c r="F27" s="54" t="s">
        <v>413</v>
      </c>
      <c r="G27" s="57">
        <v>8</v>
      </c>
      <c r="H27" s="57">
        <v>8</v>
      </c>
      <c r="I27" s="64" t="s">
        <v>0</v>
      </c>
      <c r="J27" s="57">
        <v>7.5</v>
      </c>
      <c r="K27" s="10"/>
      <c r="L27" s="68">
        <v>6.3</v>
      </c>
      <c r="M27" s="69" t="str">
        <f>IFERROR(LOOKUP(INT(L27),Sheet1!$A$2:$A$12,Sheet1!$B$2:$B$12)&amp;" phẩy "&amp;(LOOKUP(ROUND(L27-INT(L27),1)*10,Sheet1!$A$2:$A$12,Sheet1!$C$2:$C$12)),"")</f>
        <v>Sáu phẩy ba</v>
      </c>
      <c r="N27" s="41"/>
      <c r="O27" s="20" t="s">
        <v>0</v>
      </c>
      <c r="P27" s="7">
        <f t="shared" si="0"/>
        <v>3.1</v>
      </c>
      <c r="Q27" s="8" t="str">
        <f t="shared" si="1"/>
        <v/>
      </c>
      <c r="R27" s="39" t="str">
        <f t="shared" si="2"/>
        <v>09</v>
      </c>
      <c r="S27" s="8" t="str">
        <f t="shared" si="3"/>
        <v/>
      </c>
      <c r="T27" s="9" t="s">
        <v>3</v>
      </c>
      <c r="U27" s="27" t="s">
        <v>4</v>
      </c>
      <c r="V27" s="31" t="s">
        <v>575</v>
      </c>
      <c r="W27" s="9" t="s">
        <v>40</v>
      </c>
      <c r="X27" s="9" t="s">
        <v>345</v>
      </c>
      <c r="Y27" s="9" t="s">
        <v>35</v>
      </c>
    </row>
    <row r="28" spans="1:25" ht="20.25" hidden="1" customHeight="1" x14ac:dyDescent="0.3">
      <c r="A28" s="1">
        <v>602</v>
      </c>
      <c r="B28" s="6">
        <f>IF(LEN(C28=0),SUBTOTAL(3,$C$10:C28),"")</f>
        <v>0</v>
      </c>
      <c r="C28" s="54" t="s">
        <v>125</v>
      </c>
      <c r="D28" s="55" t="s">
        <v>489</v>
      </c>
      <c r="E28" s="56" t="s">
        <v>483</v>
      </c>
      <c r="F28" s="54" t="s">
        <v>366</v>
      </c>
      <c r="G28" s="57">
        <v>10</v>
      </c>
      <c r="H28" s="57">
        <v>8.5</v>
      </c>
      <c r="I28" s="64" t="s">
        <v>0</v>
      </c>
      <c r="J28" s="57">
        <v>9</v>
      </c>
      <c r="K28" s="10"/>
      <c r="L28" s="68">
        <v>8.1999999999999993</v>
      </c>
      <c r="M28" s="69" t="str">
        <f>IFERROR(LOOKUP(INT(L28),Sheet1!$A$2:$A$12,Sheet1!$B$2:$B$12)&amp;" phẩy "&amp;(LOOKUP(ROUND(L28-INT(L28),1)*10,Sheet1!$A$2:$A$12,Sheet1!$C$2:$C$12)),"")</f>
        <v>Tám phẩy hai</v>
      </c>
      <c r="N28" s="41"/>
      <c r="O28" s="20" t="s">
        <v>0</v>
      </c>
      <c r="P28" s="7">
        <f t="shared" si="0"/>
        <v>3.7</v>
      </c>
      <c r="Q28" s="8" t="str">
        <f t="shared" si="1"/>
        <v/>
      </c>
      <c r="R28" s="39" t="str">
        <f t="shared" si="2"/>
        <v>09</v>
      </c>
      <c r="S28" s="8" t="str">
        <f t="shared" si="3"/>
        <v/>
      </c>
      <c r="T28" s="9" t="s">
        <v>3</v>
      </c>
      <c r="U28" s="27" t="s">
        <v>4</v>
      </c>
      <c r="V28" s="31" t="s">
        <v>575</v>
      </c>
      <c r="W28" s="9" t="s">
        <v>40</v>
      </c>
      <c r="X28" s="9" t="s">
        <v>345</v>
      </c>
      <c r="Y28" s="9" t="s">
        <v>35</v>
      </c>
    </row>
    <row r="29" spans="1:25" ht="20.25" hidden="1" customHeight="1" x14ac:dyDescent="0.3">
      <c r="A29" s="1">
        <v>603</v>
      </c>
      <c r="B29" s="6">
        <f>IF(LEN(C29=0),SUBTOTAL(3,$C$10:C29),"")</f>
        <v>0</v>
      </c>
      <c r="C29" s="54" t="s">
        <v>192</v>
      </c>
      <c r="D29" s="55" t="s">
        <v>527</v>
      </c>
      <c r="E29" s="56" t="s">
        <v>387</v>
      </c>
      <c r="F29" s="54" t="s">
        <v>413</v>
      </c>
      <c r="G29" s="57">
        <v>10</v>
      </c>
      <c r="H29" s="57">
        <v>8</v>
      </c>
      <c r="I29" s="64" t="s">
        <v>0</v>
      </c>
      <c r="J29" s="57">
        <v>7.5</v>
      </c>
      <c r="K29" s="10"/>
      <c r="L29" s="68">
        <v>8.1999999999999993</v>
      </c>
      <c r="M29" s="69" t="str">
        <f>IFERROR(LOOKUP(INT(L29),Sheet1!$A$2:$A$12,Sheet1!$B$2:$B$12)&amp;" phẩy "&amp;(LOOKUP(ROUND(L29-INT(L29),1)*10,Sheet1!$A$2:$A$12,Sheet1!$C$2:$C$12)),"")</f>
        <v>Tám phẩy hai</v>
      </c>
      <c r="N29" s="41"/>
      <c r="O29" s="20" t="s">
        <v>0</v>
      </c>
      <c r="P29" s="7">
        <f t="shared" si="0"/>
        <v>3.3</v>
      </c>
      <c r="Q29" s="8" t="str">
        <f t="shared" si="1"/>
        <v/>
      </c>
      <c r="R29" s="39" t="str">
        <f t="shared" si="2"/>
        <v>09</v>
      </c>
      <c r="S29" s="8" t="str">
        <f t="shared" si="3"/>
        <v/>
      </c>
      <c r="T29" s="9" t="s">
        <v>3</v>
      </c>
      <c r="U29" s="27" t="s">
        <v>4</v>
      </c>
      <c r="V29" s="31" t="s">
        <v>575</v>
      </c>
      <c r="W29" s="9" t="s">
        <v>40</v>
      </c>
      <c r="X29" s="9" t="s">
        <v>345</v>
      </c>
      <c r="Y29" s="9" t="s">
        <v>35</v>
      </c>
    </row>
    <row r="30" spans="1:25" ht="20.25" hidden="1" customHeight="1" x14ac:dyDescent="0.3">
      <c r="A30" s="1">
        <v>604</v>
      </c>
      <c r="B30" s="6">
        <f>IF(LEN(C30=0),SUBTOTAL(3,$C$10:C30),"")</f>
        <v>0</v>
      </c>
      <c r="C30" s="54" t="s">
        <v>225</v>
      </c>
      <c r="D30" s="55" t="s">
        <v>528</v>
      </c>
      <c r="E30" s="56" t="s">
        <v>492</v>
      </c>
      <c r="F30" s="54" t="s">
        <v>385</v>
      </c>
      <c r="G30" s="57">
        <v>7</v>
      </c>
      <c r="H30" s="57">
        <v>7.5</v>
      </c>
      <c r="I30" s="64" t="s">
        <v>0</v>
      </c>
      <c r="J30" s="57">
        <v>7</v>
      </c>
      <c r="K30" s="10"/>
      <c r="L30" s="68">
        <v>8.1999999999999993</v>
      </c>
      <c r="M30" s="69" t="str">
        <f>IFERROR(LOOKUP(INT(L30),Sheet1!$A$2:$A$12,Sheet1!$B$2:$B$12)&amp;" phẩy "&amp;(LOOKUP(ROUND(L30-INT(L30),1)*10,Sheet1!$A$2:$A$12,Sheet1!$C$2:$C$12)),"")</f>
        <v>Tám phẩy hai</v>
      </c>
      <c r="N30" s="41"/>
      <c r="O30" s="20" t="s">
        <v>0</v>
      </c>
      <c r="P30" s="7">
        <f t="shared" si="0"/>
        <v>2.9</v>
      </c>
      <c r="Q30" s="8" t="str">
        <f t="shared" si="1"/>
        <v/>
      </c>
      <c r="R30" s="39" t="str">
        <f t="shared" si="2"/>
        <v>09</v>
      </c>
      <c r="S30" s="8" t="str">
        <f t="shared" si="3"/>
        <v/>
      </c>
      <c r="T30" s="9" t="s">
        <v>3</v>
      </c>
      <c r="U30" s="27" t="s">
        <v>4</v>
      </c>
      <c r="V30" s="31" t="s">
        <v>575</v>
      </c>
      <c r="W30" s="9" t="s">
        <v>40</v>
      </c>
      <c r="X30" s="9" t="s">
        <v>345</v>
      </c>
      <c r="Y30" s="9" t="s">
        <v>35</v>
      </c>
    </row>
    <row r="31" spans="1:25" ht="20.25" hidden="1" customHeight="1" x14ac:dyDescent="0.3">
      <c r="A31" s="1">
        <v>605</v>
      </c>
      <c r="B31" s="6">
        <f>IF(LEN(C31=0),SUBTOTAL(3,$C$10:C31),"")</f>
        <v>0</v>
      </c>
      <c r="C31" s="54" t="s">
        <v>127</v>
      </c>
      <c r="D31" s="55" t="s">
        <v>529</v>
      </c>
      <c r="E31" s="56" t="s">
        <v>530</v>
      </c>
      <c r="F31" s="54" t="s">
        <v>413</v>
      </c>
      <c r="G31" s="57">
        <v>10</v>
      </c>
      <c r="H31" s="57">
        <v>8</v>
      </c>
      <c r="I31" s="64" t="s">
        <v>0</v>
      </c>
      <c r="J31" s="57">
        <v>7.5</v>
      </c>
      <c r="K31" s="10"/>
      <c r="L31" s="68">
        <v>8.8000000000000007</v>
      </c>
      <c r="M31" s="69" t="str">
        <f>IFERROR(LOOKUP(INT(L31),Sheet1!$A$2:$A$12,Sheet1!$B$2:$B$12)&amp;" phẩy "&amp;(LOOKUP(ROUND(L31-INT(L31),1)*10,Sheet1!$A$2:$A$12,Sheet1!$C$2:$C$12)),"")</f>
        <v>Tám phẩy tám</v>
      </c>
      <c r="N31" s="41"/>
      <c r="O31" s="20" t="s">
        <v>0</v>
      </c>
      <c r="P31" s="7">
        <f t="shared" si="0"/>
        <v>3.3</v>
      </c>
      <c r="Q31" s="8" t="str">
        <f t="shared" si="1"/>
        <v/>
      </c>
      <c r="R31" s="39" t="str">
        <f t="shared" si="2"/>
        <v>09</v>
      </c>
      <c r="S31" s="8" t="str">
        <f t="shared" si="3"/>
        <v/>
      </c>
      <c r="T31" s="9" t="s">
        <v>3</v>
      </c>
      <c r="U31" s="27" t="s">
        <v>4</v>
      </c>
      <c r="V31" s="31" t="s">
        <v>575</v>
      </c>
      <c r="W31" s="9" t="s">
        <v>40</v>
      </c>
      <c r="X31" s="9" t="s">
        <v>345</v>
      </c>
      <c r="Y31" s="9" t="s">
        <v>35</v>
      </c>
    </row>
    <row r="32" spans="1:25" ht="20.25" hidden="1" customHeight="1" x14ac:dyDescent="0.3">
      <c r="A32" s="1">
        <v>606</v>
      </c>
      <c r="B32" s="6">
        <f>IF(LEN(C32=0),SUBTOTAL(3,$C$10:C32),"")</f>
        <v>0</v>
      </c>
      <c r="C32" s="54" t="s">
        <v>254</v>
      </c>
      <c r="D32" s="55" t="s">
        <v>531</v>
      </c>
      <c r="E32" s="56" t="s">
        <v>390</v>
      </c>
      <c r="F32" s="54" t="s">
        <v>362</v>
      </c>
      <c r="G32" s="57">
        <v>9</v>
      </c>
      <c r="H32" s="57">
        <v>8</v>
      </c>
      <c r="I32" s="64" t="s">
        <v>0</v>
      </c>
      <c r="J32" s="57">
        <v>8.5</v>
      </c>
      <c r="K32" s="10"/>
      <c r="L32" s="68">
        <v>7.8</v>
      </c>
      <c r="M32" s="69" t="str">
        <f>IFERROR(LOOKUP(INT(L32),Sheet1!$A$2:$A$12,Sheet1!$B$2:$B$12)&amp;" phẩy "&amp;(LOOKUP(ROUND(L32-INT(L32),1)*10,Sheet1!$A$2:$A$12,Sheet1!$C$2:$C$12)),"")</f>
        <v>Bảy phẩy tám</v>
      </c>
      <c r="N32" s="41"/>
      <c r="O32" s="20" t="s">
        <v>0</v>
      </c>
      <c r="P32" s="7">
        <f t="shared" si="0"/>
        <v>3.4</v>
      </c>
      <c r="Q32" s="8" t="str">
        <f t="shared" si="1"/>
        <v/>
      </c>
      <c r="R32" s="39" t="str">
        <f t="shared" si="2"/>
        <v>09</v>
      </c>
      <c r="S32" s="8" t="str">
        <f t="shared" si="3"/>
        <v/>
      </c>
      <c r="T32" s="9" t="s">
        <v>3</v>
      </c>
      <c r="U32" s="27" t="s">
        <v>4</v>
      </c>
      <c r="V32" s="31" t="s">
        <v>575</v>
      </c>
      <c r="W32" s="9" t="s">
        <v>40</v>
      </c>
      <c r="X32" s="9" t="s">
        <v>345</v>
      </c>
      <c r="Y32" s="9" t="s">
        <v>35</v>
      </c>
    </row>
    <row r="33" spans="1:25" ht="20.25" hidden="1" customHeight="1" x14ac:dyDescent="0.3">
      <c r="A33" s="1">
        <v>607</v>
      </c>
      <c r="B33" s="6">
        <f>IF(LEN(C33=0),SUBTOTAL(3,$C$10:C33),"")</f>
        <v>0</v>
      </c>
      <c r="C33" s="54" t="s">
        <v>155</v>
      </c>
      <c r="D33" s="55" t="s">
        <v>451</v>
      </c>
      <c r="E33" s="56" t="s">
        <v>390</v>
      </c>
      <c r="F33" s="54" t="s">
        <v>362</v>
      </c>
      <c r="G33" s="57">
        <v>10</v>
      </c>
      <c r="H33" s="57">
        <v>8.5</v>
      </c>
      <c r="I33" s="64" t="s">
        <v>0</v>
      </c>
      <c r="J33" s="57">
        <v>8</v>
      </c>
      <c r="K33" s="10"/>
      <c r="L33" s="68">
        <v>9</v>
      </c>
      <c r="M33" s="69" t="str">
        <f>IFERROR(LOOKUP(INT(L33),Sheet1!$A$2:$A$12,Sheet1!$B$2:$B$12)&amp;" phẩy "&amp;(LOOKUP(ROUND(L33-INT(L33),1)*10,Sheet1!$A$2:$A$12,Sheet1!$C$2:$C$12)),"")</f>
        <v>Chín phẩy không</v>
      </c>
      <c r="N33" s="41"/>
      <c r="O33" s="20" t="s">
        <v>0</v>
      </c>
      <c r="P33" s="7">
        <f t="shared" si="0"/>
        <v>3.5</v>
      </c>
      <c r="Q33" s="8" t="str">
        <f t="shared" si="1"/>
        <v/>
      </c>
      <c r="R33" s="39" t="str">
        <f t="shared" si="2"/>
        <v>09</v>
      </c>
      <c r="S33" s="8" t="str">
        <f t="shared" si="3"/>
        <v/>
      </c>
      <c r="T33" s="9" t="s">
        <v>3</v>
      </c>
      <c r="U33" s="27" t="s">
        <v>4</v>
      </c>
      <c r="V33" s="31" t="s">
        <v>575</v>
      </c>
      <c r="W33" s="9" t="s">
        <v>40</v>
      </c>
      <c r="X33" s="9" t="s">
        <v>345</v>
      </c>
      <c r="Y33" s="9" t="s">
        <v>35</v>
      </c>
    </row>
    <row r="34" spans="1:25" ht="20.25" hidden="1" customHeight="1" x14ac:dyDescent="0.3">
      <c r="A34" s="1">
        <v>608</v>
      </c>
      <c r="B34" s="6">
        <f>IF(LEN(C34=0),SUBTOTAL(3,$C$10:C34),"")</f>
        <v>0</v>
      </c>
      <c r="C34" s="54" t="s">
        <v>128</v>
      </c>
      <c r="D34" s="55" t="s">
        <v>405</v>
      </c>
      <c r="E34" s="56" t="s">
        <v>390</v>
      </c>
      <c r="F34" s="54" t="s">
        <v>413</v>
      </c>
      <c r="G34" s="57">
        <v>10</v>
      </c>
      <c r="H34" s="57">
        <v>8.5</v>
      </c>
      <c r="I34" s="64" t="s">
        <v>0</v>
      </c>
      <c r="J34" s="57">
        <v>9</v>
      </c>
      <c r="K34" s="10"/>
      <c r="L34" s="68">
        <v>8</v>
      </c>
      <c r="M34" s="69" t="str">
        <f>IFERROR(LOOKUP(INT(L34),Sheet1!$A$2:$A$12,Sheet1!$B$2:$B$12)&amp;" phẩy "&amp;(LOOKUP(ROUND(L34-INT(L34),1)*10,Sheet1!$A$2:$A$12,Sheet1!$C$2:$C$12)),"")</f>
        <v>Tám phẩy không</v>
      </c>
      <c r="N34" s="41"/>
      <c r="O34" s="20" t="s">
        <v>0</v>
      </c>
      <c r="P34" s="7">
        <f t="shared" si="0"/>
        <v>3.7</v>
      </c>
      <c r="Q34" s="8" t="str">
        <f t="shared" si="1"/>
        <v/>
      </c>
      <c r="R34" s="39" t="str">
        <f t="shared" si="2"/>
        <v>09</v>
      </c>
      <c r="S34" s="8" t="str">
        <f t="shared" si="3"/>
        <v/>
      </c>
      <c r="T34" s="9" t="s">
        <v>3</v>
      </c>
      <c r="U34" s="27" t="s">
        <v>4</v>
      </c>
      <c r="V34" s="31" t="s">
        <v>575</v>
      </c>
      <c r="W34" s="9" t="s">
        <v>40</v>
      </c>
      <c r="X34" s="9" t="s">
        <v>345</v>
      </c>
      <c r="Y34" s="9" t="s">
        <v>35</v>
      </c>
    </row>
    <row r="35" spans="1:25" ht="20.25" hidden="1" customHeight="1" x14ac:dyDescent="0.3">
      <c r="A35" s="1">
        <v>609</v>
      </c>
      <c r="B35" s="6">
        <f>IF(LEN(C35=0),SUBTOTAL(3,$C$10:C35),"")</f>
        <v>0</v>
      </c>
      <c r="C35" s="54" t="s">
        <v>218</v>
      </c>
      <c r="D35" s="55" t="s">
        <v>532</v>
      </c>
      <c r="E35" s="56" t="s">
        <v>390</v>
      </c>
      <c r="F35" s="54" t="s">
        <v>364</v>
      </c>
      <c r="G35" s="57">
        <v>10</v>
      </c>
      <c r="H35" s="57">
        <v>8.5</v>
      </c>
      <c r="I35" s="64" t="s">
        <v>0</v>
      </c>
      <c r="J35" s="57">
        <v>8</v>
      </c>
      <c r="K35" s="10"/>
      <c r="L35" s="68">
        <v>8.1999999999999993</v>
      </c>
      <c r="M35" s="69" t="str">
        <f>IFERROR(LOOKUP(INT(L35),Sheet1!$A$2:$A$12,Sheet1!$B$2:$B$12)&amp;" phẩy "&amp;(LOOKUP(ROUND(L35-INT(L35),1)*10,Sheet1!$A$2:$A$12,Sheet1!$C$2:$C$12)),"")</f>
        <v>Tám phẩy hai</v>
      </c>
      <c r="N35" s="41"/>
      <c r="O35" s="20" t="s">
        <v>0</v>
      </c>
      <c r="P35" s="7">
        <f t="shared" si="0"/>
        <v>3.5</v>
      </c>
      <c r="Q35" s="8" t="str">
        <f t="shared" si="1"/>
        <v/>
      </c>
      <c r="R35" s="39" t="str">
        <f t="shared" si="2"/>
        <v>09</v>
      </c>
      <c r="S35" s="8" t="str">
        <f t="shared" si="3"/>
        <v/>
      </c>
      <c r="T35" s="9" t="s">
        <v>3</v>
      </c>
      <c r="U35" s="27" t="s">
        <v>4</v>
      </c>
      <c r="V35" s="31" t="s">
        <v>575</v>
      </c>
      <c r="W35" s="9" t="s">
        <v>40</v>
      </c>
      <c r="X35" s="9" t="s">
        <v>345</v>
      </c>
      <c r="Y35" s="9" t="s">
        <v>35</v>
      </c>
    </row>
    <row r="36" spans="1:25" ht="20.25" hidden="1" customHeight="1" x14ac:dyDescent="0.3">
      <c r="A36" s="1">
        <v>610</v>
      </c>
      <c r="B36" s="6">
        <f>IF(LEN(C36=0),SUBTOTAL(3,$C$10:C36),"")</f>
        <v>0</v>
      </c>
      <c r="C36" s="54" t="s">
        <v>93</v>
      </c>
      <c r="D36" s="55" t="s">
        <v>533</v>
      </c>
      <c r="E36" s="56" t="s">
        <v>534</v>
      </c>
      <c r="F36" s="54" t="s">
        <v>385</v>
      </c>
      <c r="G36" s="57">
        <v>7</v>
      </c>
      <c r="H36" s="57">
        <v>7.5</v>
      </c>
      <c r="I36" s="64" t="s">
        <v>0</v>
      </c>
      <c r="J36" s="57">
        <v>7</v>
      </c>
      <c r="K36" s="10"/>
      <c r="L36" s="68">
        <v>8</v>
      </c>
      <c r="M36" s="69" t="str">
        <f>IFERROR(LOOKUP(INT(L36),Sheet1!$A$2:$A$12,Sheet1!$B$2:$B$12)&amp;" phẩy "&amp;(LOOKUP(ROUND(L36-INT(L36),1)*10,Sheet1!$A$2:$A$12,Sheet1!$C$2:$C$12)),"")</f>
        <v>Tám phẩy không</v>
      </c>
      <c r="N36" s="41"/>
      <c r="O36" s="20" t="s">
        <v>0</v>
      </c>
      <c r="P36" s="7">
        <f t="shared" si="0"/>
        <v>2.9</v>
      </c>
      <c r="Q36" s="8" t="str">
        <f t="shared" si="1"/>
        <v/>
      </c>
      <c r="R36" s="39" t="str">
        <f t="shared" si="2"/>
        <v>09</v>
      </c>
      <c r="S36" s="8" t="str">
        <f t="shared" si="3"/>
        <v/>
      </c>
      <c r="T36" s="9" t="s">
        <v>3</v>
      </c>
      <c r="U36" s="27" t="s">
        <v>4</v>
      </c>
      <c r="V36" s="31" t="s">
        <v>575</v>
      </c>
      <c r="W36" s="9" t="s">
        <v>40</v>
      </c>
      <c r="X36" s="9" t="s">
        <v>345</v>
      </c>
      <c r="Y36" s="9" t="s">
        <v>35</v>
      </c>
    </row>
    <row r="37" spans="1:25" ht="20.25" hidden="1" customHeight="1" x14ac:dyDescent="0.3">
      <c r="A37" s="1">
        <v>611</v>
      </c>
      <c r="B37" s="6">
        <f>IF(LEN(C37=0),SUBTOTAL(3,$C$10:C37),"")</f>
        <v>0</v>
      </c>
      <c r="C37" s="54" t="s">
        <v>156</v>
      </c>
      <c r="D37" s="55" t="s">
        <v>535</v>
      </c>
      <c r="E37" s="56" t="s">
        <v>500</v>
      </c>
      <c r="F37" s="54" t="s">
        <v>354</v>
      </c>
      <c r="G37" s="57">
        <v>9</v>
      </c>
      <c r="H37" s="57">
        <v>8.5</v>
      </c>
      <c r="I37" s="64" t="s">
        <v>0</v>
      </c>
      <c r="J37" s="57">
        <v>8</v>
      </c>
      <c r="K37" s="10"/>
      <c r="L37" s="68">
        <v>8.6999999999999993</v>
      </c>
      <c r="M37" s="69" t="str">
        <f>IFERROR(LOOKUP(INT(L37),Sheet1!$A$2:$A$12,Sheet1!$B$2:$B$12)&amp;" phẩy "&amp;(LOOKUP(ROUND(L37-INT(L37),1)*10,Sheet1!$A$2:$A$12,Sheet1!$C$2:$C$12)),"")</f>
        <v>Tám phẩy bảy</v>
      </c>
      <c r="N37" s="41"/>
      <c r="O37" s="20" t="s">
        <v>0</v>
      </c>
      <c r="P37" s="7">
        <f t="shared" si="0"/>
        <v>3.4</v>
      </c>
      <c r="Q37" s="8" t="str">
        <f t="shared" si="1"/>
        <v/>
      </c>
      <c r="R37" s="39" t="str">
        <f t="shared" si="2"/>
        <v>09</v>
      </c>
      <c r="S37" s="8" t="str">
        <f t="shared" si="3"/>
        <v/>
      </c>
      <c r="T37" s="9" t="s">
        <v>3</v>
      </c>
      <c r="U37" s="27" t="s">
        <v>4</v>
      </c>
      <c r="V37" s="31" t="s">
        <v>575</v>
      </c>
      <c r="W37" s="9" t="s">
        <v>40</v>
      </c>
      <c r="X37" s="9" t="s">
        <v>345</v>
      </c>
      <c r="Y37" s="9" t="s">
        <v>35</v>
      </c>
    </row>
    <row r="38" spans="1:25" ht="20.25" hidden="1" customHeight="1" x14ac:dyDescent="0.3">
      <c r="A38" s="1">
        <v>612</v>
      </c>
      <c r="B38" s="6">
        <f>IF(LEN(C38=0),SUBTOTAL(3,$C$10:C38),"")</f>
        <v>0</v>
      </c>
      <c r="C38" s="54" t="s">
        <v>176</v>
      </c>
      <c r="D38" s="55" t="s">
        <v>536</v>
      </c>
      <c r="E38" s="56" t="s">
        <v>399</v>
      </c>
      <c r="F38" s="54" t="s">
        <v>372</v>
      </c>
      <c r="G38" s="57">
        <v>6</v>
      </c>
      <c r="H38" s="57">
        <v>3</v>
      </c>
      <c r="I38" s="64" t="s">
        <v>0</v>
      </c>
      <c r="J38" s="57">
        <v>4</v>
      </c>
      <c r="K38" s="10"/>
      <c r="L38" s="68" t="s">
        <v>0</v>
      </c>
      <c r="M38" s="69" t="str">
        <f>IFERROR(LOOKUP(INT(L38),Sheet1!$A$2:$A$12,Sheet1!$B$2:$B$12)&amp;" phẩy "&amp;(LOOKUP(ROUND(L38-INT(L38),1)*10,Sheet1!$A$2:$A$12,Sheet1!$C$2:$C$12)),"")</f>
        <v/>
      </c>
      <c r="N38" s="41"/>
      <c r="O38" s="20" t="s">
        <v>0</v>
      </c>
      <c r="P38" s="7">
        <f t="shared" si="0"/>
        <v>1.7</v>
      </c>
      <c r="Q38" s="8" t="str">
        <f t="shared" si="1"/>
        <v/>
      </c>
      <c r="R38" s="39" t="str">
        <f t="shared" si="2"/>
        <v>09</v>
      </c>
      <c r="S38" s="8" t="str">
        <f t="shared" si="3"/>
        <v/>
      </c>
      <c r="T38" s="9" t="s">
        <v>3</v>
      </c>
      <c r="U38" s="27" t="s">
        <v>4</v>
      </c>
      <c r="V38" s="31" t="s">
        <v>575</v>
      </c>
      <c r="W38" s="9" t="s">
        <v>40</v>
      </c>
      <c r="X38" s="9" t="s">
        <v>345</v>
      </c>
      <c r="Y38" s="9" t="s">
        <v>35</v>
      </c>
    </row>
    <row r="39" spans="1:25" ht="20.25" hidden="1" customHeight="1" x14ac:dyDescent="0.3">
      <c r="A39" s="1">
        <v>613</v>
      </c>
      <c r="B39" s="6">
        <f>IF(LEN(C39=0),SUBTOTAL(3,$C$10:C39),"")</f>
        <v>0</v>
      </c>
      <c r="C39" s="54" t="s">
        <v>243</v>
      </c>
      <c r="D39" s="55" t="s">
        <v>398</v>
      </c>
      <c r="E39" s="56" t="s">
        <v>402</v>
      </c>
      <c r="F39" s="54" t="s">
        <v>388</v>
      </c>
      <c r="G39" s="57">
        <v>10</v>
      </c>
      <c r="H39" s="57">
        <v>8</v>
      </c>
      <c r="I39" s="64" t="s">
        <v>0</v>
      </c>
      <c r="J39" s="57">
        <v>7.5</v>
      </c>
      <c r="K39" s="10"/>
      <c r="L39" s="68">
        <v>7.7</v>
      </c>
      <c r="M39" s="69" t="str">
        <f>IFERROR(LOOKUP(INT(L39),Sheet1!$A$2:$A$12,Sheet1!$B$2:$B$12)&amp;" phẩy "&amp;(LOOKUP(ROUND(L39-INT(L39),1)*10,Sheet1!$A$2:$A$12,Sheet1!$C$2:$C$12)),"")</f>
        <v>Bảy phẩy bảy</v>
      </c>
      <c r="N39" s="41"/>
      <c r="O39" s="20" t="s">
        <v>0</v>
      </c>
      <c r="P39" s="7">
        <f t="shared" si="0"/>
        <v>3.3</v>
      </c>
      <c r="Q39" s="8" t="str">
        <f t="shared" si="1"/>
        <v/>
      </c>
      <c r="R39" s="39" t="str">
        <f t="shared" si="2"/>
        <v>09</v>
      </c>
      <c r="S39" s="8" t="str">
        <f t="shared" si="3"/>
        <v/>
      </c>
      <c r="T39" s="9" t="s">
        <v>3</v>
      </c>
      <c r="U39" s="27" t="s">
        <v>4</v>
      </c>
      <c r="V39" s="31" t="s">
        <v>575</v>
      </c>
      <c r="W39" s="9" t="s">
        <v>40</v>
      </c>
      <c r="X39" s="9" t="s">
        <v>345</v>
      </c>
      <c r="Y39" s="9" t="s">
        <v>35</v>
      </c>
    </row>
    <row r="40" spans="1:25" ht="20.25" hidden="1" customHeight="1" x14ac:dyDescent="0.3">
      <c r="A40" s="1">
        <v>614</v>
      </c>
      <c r="B40" s="6">
        <f>IF(LEN(C40=0),SUBTOTAL(3,$C$10:C40),"")</f>
        <v>0</v>
      </c>
      <c r="C40" s="54" t="s">
        <v>244</v>
      </c>
      <c r="D40" s="55" t="s">
        <v>537</v>
      </c>
      <c r="E40" s="56" t="s">
        <v>402</v>
      </c>
      <c r="F40" s="54" t="s">
        <v>388</v>
      </c>
      <c r="G40" s="57">
        <v>10</v>
      </c>
      <c r="H40" s="57">
        <v>8</v>
      </c>
      <c r="I40" s="64" t="s">
        <v>0</v>
      </c>
      <c r="J40" s="57">
        <v>7.5</v>
      </c>
      <c r="K40" s="10"/>
      <c r="L40" s="68">
        <v>7.7</v>
      </c>
      <c r="M40" s="69" t="str">
        <f>IFERROR(LOOKUP(INT(L40),Sheet1!$A$2:$A$12,Sheet1!$B$2:$B$12)&amp;" phẩy "&amp;(LOOKUP(ROUND(L40-INT(L40),1)*10,Sheet1!$A$2:$A$12,Sheet1!$C$2:$C$12)),"")</f>
        <v>Bảy phẩy bảy</v>
      </c>
      <c r="N40" s="41"/>
      <c r="O40" s="20" t="s">
        <v>0</v>
      </c>
      <c r="P40" s="7">
        <f t="shared" si="0"/>
        <v>3.3</v>
      </c>
      <c r="Q40" s="8" t="str">
        <f t="shared" si="1"/>
        <v/>
      </c>
      <c r="R40" s="39" t="str">
        <f t="shared" si="2"/>
        <v>09</v>
      </c>
      <c r="S40" s="8" t="str">
        <f t="shared" si="3"/>
        <v/>
      </c>
      <c r="T40" s="9" t="s">
        <v>3</v>
      </c>
      <c r="U40" s="27" t="s">
        <v>4</v>
      </c>
      <c r="V40" s="31" t="s">
        <v>575</v>
      </c>
      <c r="W40" s="9" t="s">
        <v>40</v>
      </c>
      <c r="X40" s="9" t="s">
        <v>345</v>
      </c>
      <c r="Y40" s="9" t="s">
        <v>35</v>
      </c>
    </row>
    <row r="41" spans="1:25" ht="20.25" hidden="1" customHeight="1" x14ac:dyDescent="0.3">
      <c r="A41" s="1">
        <v>615</v>
      </c>
      <c r="B41" s="6">
        <f>IF(LEN(C41=0),SUBTOTAL(3,$C$10:C41),"")</f>
        <v>0</v>
      </c>
      <c r="C41" s="54" t="s">
        <v>255</v>
      </c>
      <c r="D41" s="55" t="s">
        <v>538</v>
      </c>
      <c r="E41" s="56" t="s">
        <v>402</v>
      </c>
      <c r="F41" s="54" t="s">
        <v>369</v>
      </c>
      <c r="G41" s="57">
        <v>8</v>
      </c>
      <c r="H41" s="57">
        <v>8.5</v>
      </c>
      <c r="I41" s="64" t="s">
        <v>0</v>
      </c>
      <c r="J41" s="57">
        <v>9</v>
      </c>
      <c r="K41" s="10"/>
      <c r="L41" s="68">
        <v>9.1999999999999993</v>
      </c>
      <c r="M41" s="69" t="str">
        <f>IFERROR(LOOKUP(INT(L41),Sheet1!$A$2:$A$12,Sheet1!$B$2:$B$12)&amp;" phẩy "&amp;(LOOKUP(ROUND(L41-INT(L41),1)*10,Sheet1!$A$2:$A$12,Sheet1!$C$2:$C$12)),"")</f>
        <v>Chín phẩy hai</v>
      </c>
      <c r="N41" s="41"/>
      <c r="O41" s="20" t="s">
        <v>0</v>
      </c>
      <c r="P41" s="7">
        <f t="shared" si="0"/>
        <v>3.5</v>
      </c>
      <c r="Q41" s="8" t="str">
        <f t="shared" si="1"/>
        <v/>
      </c>
      <c r="R41" s="39" t="str">
        <f t="shared" si="2"/>
        <v>09</v>
      </c>
      <c r="S41" s="8" t="str">
        <f t="shared" si="3"/>
        <v/>
      </c>
      <c r="T41" s="9" t="s">
        <v>3</v>
      </c>
      <c r="U41" s="27" t="s">
        <v>4</v>
      </c>
      <c r="V41" s="31" t="s">
        <v>575</v>
      </c>
      <c r="W41" s="9" t="s">
        <v>40</v>
      </c>
      <c r="X41" s="9" t="s">
        <v>345</v>
      </c>
      <c r="Y41" s="9" t="s">
        <v>35</v>
      </c>
    </row>
    <row r="42" spans="1:25" ht="20.25" hidden="1" customHeight="1" x14ac:dyDescent="0.3">
      <c r="A42" s="1">
        <v>616</v>
      </c>
      <c r="B42" s="6">
        <f>IF(LEN(C42=0),SUBTOTAL(3,$C$10:C42),"")</f>
        <v>0</v>
      </c>
      <c r="C42" s="54" t="s">
        <v>226</v>
      </c>
      <c r="D42" s="55" t="s">
        <v>502</v>
      </c>
      <c r="E42" s="56" t="s">
        <v>410</v>
      </c>
      <c r="F42" s="54" t="s">
        <v>364</v>
      </c>
      <c r="G42" s="57">
        <v>10</v>
      </c>
      <c r="H42" s="57">
        <v>8.5</v>
      </c>
      <c r="I42" s="64" t="s">
        <v>0</v>
      </c>
      <c r="J42" s="57">
        <v>8</v>
      </c>
      <c r="K42" s="10"/>
      <c r="L42" s="68">
        <v>8.6999999999999993</v>
      </c>
      <c r="M42" s="69" t="str">
        <f>IFERROR(LOOKUP(INT(L42),Sheet1!$A$2:$A$12,Sheet1!$B$2:$B$12)&amp;" phẩy "&amp;(LOOKUP(ROUND(L42-INT(L42),1)*10,Sheet1!$A$2:$A$12,Sheet1!$C$2:$C$12)),"")</f>
        <v>Tám phẩy bảy</v>
      </c>
      <c r="N42" s="41"/>
      <c r="O42" s="20" t="s">
        <v>0</v>
      </c>
      <c r="P42" s="7">
        <f t="shared" si="0"/>
        <v>3.5</v>
      </c>
      <c r="Q42" s="8" t="str">
        <f t="shared" si="1"/>
        <v/>
      </c>
      <c r="R42" s="39" t="str">
        <f t="shared" si="2"/>
        <v>09</v>
      </c>
      <c r="S42" s="8" t="str">
        <f t="shared" si="3"/>
        <v/>
      </c>
      <c r="T42" s="9" t="s">
        <v>3</v>
      </c>
      <c r="U42" s="27" t="s">
        <v>4</v>
      </c>
      <c r="V42" s="31" t="s">
        <v>575</v>
      </c>
      <c r="W42" s="9" t="s">
        <v>40</v>
      </c>
      <c r="X42" s="9" t="s">
        <v>345</v>
      </c>
      <c r="Y42" s="9" t="s">
        <v>35</v>
      </c>
    </row>
    <row r="43" spans="1:25" ht="20.25" hidden="1" customHeight="1" x14ac:dyDescent="0.3">
      <c r="A43" s="1">
        <v>617</v>
      </c>
      <c r="B43" s="6">
        <f>IF(LEN(C43=0),SUBTOTAL(3,$C$10:C43),"")</f>
        <v>0</v>
      </c>
      <c r="C43" s="54" t="s">
        <v>145</v>
      </c>
      <c r="D43" s="55" t="s">
        <v>421</v>
      </c>
      <c r="E43" s="56" t="s">
        <v>410</v>
      </c>
      <c r="F43" s="54" t="s">
        <v>364</v>
      </c>
      <c r="G43" s="57">
        <v>10</v>
      </c>
      <c r="H43" s="57">
        <v>8.5</v>
      </c>
      <c r="I43" s="64" t="s">
        <v>0</v>
      </c>
      <c r="J43" s="57">
        <v>8</v>
      </c>
      <c r="K43" s="10"/>
      <c r="L43" s="68">
        <v>7</v>
      </c>
      <c r="M43" s="69" t="str">
        <f>IFERROR(LOOKUP(INT(L43),Sheet1!$A$2:$A$12,Sheet1!$B$2:$B$12)&amp;" phẩy "&amp;(LOOKUP(ROUND(L43-INT(L43),1)*10,Sheet1!$A$2:$A$12,Sheet1!$C$2:$C$12)),"")</f>
        <v>Bảy phẩy không</v>
      </c>
      <c r="N43" s="41"/>
      <c r="O43" s="20" t="s">
        <v>0</v>
      </c>
      <c r="P43" s="7">
        <f t="shared" si="0"/>
        <v>3.5</v>
      </c>
      <c r="Q43" s="8" t="str">
        <f t="shared" si="1"/>
        <v/>
      </c>
      <c r="R43" s="39" t="str">
        <f t="shared" si="2"/>
        <v>09</v>
      </c>
      <c r="S43" s="8" t="str">
        <f t="shared" si="3"/>
        <v/>
      </c>
      <c r="T43" s="9" t="s">
        <v>3</v>
      </c>
      <c r="U43" s="27" t="s">
        <v>4</v>
      </c>
      <c r="V43" s="31" t="s">
        <v>575</v>
      </c>
      <c r="W43" s="9" t="s">
        <v>40</v>
      </c>
      <c r="X43" s="9" t="s">
        <v>345</v>
      </c>
      <c r="Y43" s="9" t="s">
        <v>35</v>
      </c>
    </row>
    <row r="44" spans="1:25" ht="20.25" hidden="1" customHeight="1" x14ac:dyDescent="0.3">
      <c r="A44" s="1">
        <v>618</v>
      </c>
      <c r="B44" s="6">
        <f>IF(LEN(C44=0),SUBTOTAL(3,$C$10:C44),"")</f>
        <v>0</v>
      </c>
      <c r="C44" s="54" t="s">
        <v>227</v>
      </c>
      <c r="D44" s="55" t="s">
        <v>539</v>
      </c>
      <c r="E44" s="56" t="s">
        <v>486</v>
      </c>
      <c r="F44" s="54" t="s">
        <v>364</v>
      </c>
      <c r="G44" s="57">
        <v>10</v>
      </c>
      <c r="H44" s="57">
        <v>8.5</v>
      </c>
      <c r="I44" s="64" t="s">
        <v>0</v>
      </c>
      <c r="J44" s="57">
        <v>8</v>
      </c>
      <c r="K44" s="10"/>
      <c r="L44" s="68">
        <v>7.3</v>
      </c>
      <c r="M44" s="69" t="str">
        <f>IFERROR(LOOKUP(INT(L44),Sheet1!$A$2:$A$12,Sheet1!$B$2:$B$12)&amp;" phẩy "&amp;(LOOKUP(ROUND(L44-INT(L44),1)*10,Sheet1!$A$2:$A$12,Sheet1!$C$2:$C$12)),"")</f>
        <v>Bảy phẩy ba</v>
      </c>
      <c r="N44" s="41"/>
      <c r="O44" s="20" t="s">
        <v>0</v>
      </c>
      <c r="P44" s="7">
        <f t="shared" si="0"/>
        <v>3.5</v>
      </c>
      <c r="Q44" s="8" t="str">
        <f t="shared" si="1"/>
        <v/>
      </c>
      <c r="R44" s="39" t="str">
        <f t="shared" si="2"/>
        <v>09</v>
      </c>
      <c r="S44" s="8" t="str">
        <f t="shared" si="3"/>
        <v/>
      </c>
      <c r="T44" s="9" t="s">
        <v>3</v>
      </c>
      <c r="U44" s="27" t="s">
        <v>4</v>
      </c>
      <c r="V44" s="31" t="s">
        <v>575</v>
      </c>
      <c r="W44" s="9" t="s">
        <v>40</v>
      </c>
      <c r="X44" s="9" t="s">
        <v>345</v>
      </c>
      <c r="Y44" s="9" t="s">
        <v>35</v>
      </c>
    </row>
    <row r="45" spans="1:25" ht="20.25" hidden="1" customHeight="1" x14ac:dyDescent="0.3">
      <c r="A45" s="1">
        <v>619</v>
      </c>
      <c r="B45" s="6">
        <f>IF(LEN(C45=0),SUBTOTAL(3,$C$10:C45),"")</f>
        <v>0</v>
      </c>
      <c r="C45" s="54" t="s">
        <v>166</v>
      </c>
      <c r="D45" s="55" t="s">
        <v>405</v>
      </c>
      <c r="E45" s="56" t="s">
        <v>486</v>
      </c>
      <c r="F45" s="54" t="s">
        <v>366</v>
      </c>
      <c r="G45" s="57">
        <v>10</v>
      </c>
      <c r="H45" s="57">
        <v>8.5</v>
      </c>
      <c r="I45" s="64" t="s">
        <v>0</v>
      </c>
      <c r="J45" s="57">
        <v>9</v>
      </c>
      <c r="K45" s="10"/>
      <c r="L45" s="68">
        <v>8</v>
      </c>
      <c r="M45" s="69" t="str">
        <f>IFERROR(LOOKUP(INT(L45),Sheet1!$A$2:$A$12,Sheet1!$B$2:$B$12)&amp;" phẩy "&amp;(LOOKUP(ROUND(L45-INT(L45),1)*10,Sheet1!$A$2:$A$12,Sheet1!$C$2:$C$12)),"")</f>
        <v>Tám phẩy không</v>
      </c>
      <c r="N45" s="41"/>
      <c r="O45" s="20" t="s">
        <v>0</v>
      </c>
      <c r="P45" s="7">
        <f t="shared" si="0"/>
        <v>3.7</v>
      </c>
      <c r="Q45" s="8" t="str">
        <f t="shared" si="1"/>
        <v/>
      </c>
      <c r="R45" s="39" t="str">
        <f t="shared" si="2"/>
        <v>09</v>
      </c>
      <c r="S45" s="8" t="str">
        <f t="shared" si="3"/>
        <v/>
      </c>
      <c r="T45" s="9" t="s">
        <v>3</v>
      </c>
      <c r="U45" s="27" t="s">
        <v>4</v>
      </c>
      <c r="V45" s="31" t="s">
        <v>575</v>
      </c>
      <c r="W45" s="9" t="s">
        <v>40</v>
      </c>
      <c r="X45" s="9" t="s">
        <v>345</v>
      </c>
      <c r="Y45" s="9" t="s">
        <v>35</v>
      </c>
    </row>
    <row r="46" spans="1:25" ht="20.25" hidden="1" customHeight="1" x14ac:dyDescent="0.3">
      <c r="A46" s="1">
        <v>620</v>
      </c>
      <c r="B46" s="6">
        <f>IF(LEN(C46=0),SUBTOTAL(3,$C$10:C46),"")</f>
        <v>0</v>
      </c>
      <c r="C46" s="54" t="s">
        <v>250</v>
      </c>
      <c r="D46" s="55" t="s">
        <v>405</v>
      </c>
      <c r="E46" s="56" t="s">
        <v>412</v>
      </c>
      <c r="F46" s="54" t="s">
        <v>372</v>
      </c>
      <c r="G46" s="57">
        <v>10</v>
      </c>
      <c r="H46" s="57">
        <v>8.5</v>
      </c>
      <c r="I46" s="64" t="s">
        <v>0</v>
      </c>
      <c r="J46" s="57">
        <v>8</v>
      </c>
      <c r="K46" s="10"/>
      <c r="L46" s="68">
        <v>8</v>
      </c>
      <c r="M46" s="69" t="str">
        <f>IFERROR(LOOKUP(INT(L46),Sheet1!$A$2:$A$12,Sheet1!$B$2:$B$12)&amp;" phẩy "&amp;(LOOKUP(ROUND(L46-INT(L46),1)*10,Sheet1!$A$2:$A$12,Sheet1!$C$2:$C$12)),"")</f>
        <v>Tám phẩy không</v>
      </c>
      <c r="N46" s="41"/>
      <c r="O46" s="20" t="s">
        <v>0</v>
      </c>
      <c r="P46" s="7">
        <f t="shared" si="0"/>
        <v>3.5</v>
      </c>
      <c r="Q46" s="8" t="str">
        <f t="shared" si="1"/>
        <v/>
      </c>
      <c r="R46" s="39" t="str">
        <f t="shared" si="2"/>
        <v>09</v>
      </c>
      <c r="S46" s="8" t="str">
        <f t="shared" si="3"/>
        <v/>
      </c>
      <c r="T46" s="9" t="s">
        <v>3</v>
      </c>
      <c r="U46" s="27" t="s">
        <v>4</v>
      </c>
      <c r="V46" s="31" t="s">
        <v>575</v>
      </c>
      <c r="W46" s="9" t="s">
        <v>40</v>
      </c>
      <c r="X46" s="9" t="s">
        <v>345</v>
      </c>
      <c r="Y46" s="9" t="s">
        <v>35</v>
      </c>
    </row>
    <row r="47" spans="1:25" ht="20.25" hidden="1" customHeight="1" x14ac:dyDescent="0.3">
      <c r="A47" s="1">
        <v>621</v>
      </c>
      <c r="B47" s="6">
        <f>IF(LEN(C47=0),SUBTOTAL(3,$C$10:C47),"")</f>
        <v>0</v>
      </c>
      <c r="C47" s="54" t="s">
        <v>239</v>
      </c>
      <c r="D47" s="55" t="s">
        <v>540</v>
      </c>
      <c r="E47" s="56" t="s">
        <v>415</v>
      </c>
      <c r="F47" s="54" t="s">
        <v>359</v>
      </c>
      <c r="G47" s="57">
        <v>9</v>
      </c>
      <c r="H47" s="57">
        <v>7.5</v>
      </c>
      <c r="I47" s="64" t="s">
        <v>0</v>
      </c>
      <c r="J47" s="57">
        <v>8.5</v>
      </c>
      <c r="K47" s="10"/>
      <c r="L47" s="68">
        <v>6.8</v>
      </c>
      <c r="M47" s="69" t="str">
        <f>IFERROR(LOOKUP(INT(L47),Sheet1!$A$2:$A$12,Sheet1!$B$2:$B$12)&amp;" phẩy "&amp;(LOOKUP(ROUND(L47-INT(L47),1)*10,Sheet1!$A$2:$A$12,Sheet1!$C$2:$C$12)),"")</f>
        <v>Sáu phẩy tám</v>
      </c>
      <c r="N47" s="41"/>
      <c r="O47" s="20" t="s">
        <v>0</v>
      </c>
      <c r="P47" s="7">
        <f t="shared" si="0"/>
        <v>3.4</v>
      </c>
      <c r="Q47" s="8" t="str">
        <f t="shared" si="1"/>
        <v/>
      </c>
      <c r="R47" s="39" t="str">
        <f t="shared" si="2"/>
        <v>09</v>
      </c>
      <c r="S47" s="8" t="str">
        <f t="shared" si="3"/>
        <v/>
      </c>
      <c r="T47" s="9" t="s">
        <v>2</v>
      </c>
      <c r="U47" s="27" t="s">
        <v>4</v>
      </c>
      <c r="V47" s="31" t="s">
        <v>575</v>
      </c>
      <c r="W47" s="9" t="s">
        <v>41</v>
      </c>
      <c r="X47" s="9" t="s">
        <v>345</v>
      </c>
      <c r="Y47" s="9" t="s">
        <v>35</v>
      </c>
    </row>
    <row r="48" spans="1:25" ht="20.25" hidden="1" customHeight="1" x14ac:dyDescent="0.3">
      <c r="A48" s="1">
        <v>622</v>
      </c>
      <c r="B48" s="6">
        <f>IF(LEN(C48=0),SUBTOTAL(3,$C$10:C48),"")</f>
        <v>0</v>
      </c>
      <c r="C48" s="54" t="s">
        <v>157</v>
      </c>
      <c r="D48" s="55" t="s">
        <v>421</v>
      </c>
      <c r="E48" s="56" t="s">
        <v>494</v>
      </c>
      <c r="F48" s="54" t="s">
        <v>369</v>
      </c>
      <c r="G48" s="57">
        <v>9</v>
      </c>
      <c r="H48" s="57">
        <v>8</v>
      </c>
      <c r="I48" s="64" t="s">
        <v>0</v>
      </c>
      <c r="J48" s="57">
        <v>7.5</v>
      </c>
      <c r="K48" s="10"/>
      <c r="L48" s="68">
        <v>9.1999999999999993</v>
      </c>
      <c r="M48" s="69" t="str">
        <f>IFERROR(LOOKUP(INT(L48),Sheet1!$A$2:$A$12,Sheet1!$B$2:$B$12)&amp;" phẩy "&amp;(LOOKUP(ROUND(L48-INT(L48),1)*10,Sheet1!$A$2:$A$12,Sheet1!$C$2:$C$12)),"")</f>
        <v>Chín phẩy hai</v>
      </c>
      <c r="N48" s="41"/>
      <c r="O48" s="20" t="s">
        <v>0</v>
      </c>
      <c r="P48" s="7">
        <f t="shared" si="0"/>
        <v>3.2</v>
      </c>
      <c r="Q48" s="8" t="str">
        <f t="shared" si="1"/>
        <v/>
      </c>
      <c r="R48" s="39" t="str">
        <f t="shared" si="2"/>
        <v>09</v>
      </c>
      <c r="S48" s="8" t="str">
        <f t="shared" si="3"/>
        <v/>
      </c>
      <c r="T48" s="9" t="s">
        <v>2</v>
      </c>
      <c r="U48" s="27" t="s">
        <v>4</v>
      </c>
      <c r="V48" s="31" t="s">
        <v>575</v>
      </c>
      <c r="W48" s="9" t="s">
        <v>41</v>
      </c>
      <c r="X48" s="9" t="s">
        <v>345</v>
      </c>
      <c r="Y48" s="9" t="s">
        <v>35</v>
      </c>
    </row>
    <row r="49" spans="1:25" ht="20.25" hidden="1" customHeight="1" x14ac:dyDescent="0.3">
      <c r="A49" s="1">
        <v>623</v>
      </c>
      <c r="B49" s="6">
        <f>IF(LEN(C49=0),SUBTOTAL(3,$C$10:C49),"")</f>
        <v>0</v>
      </c>
      <c r="C49" s="54" t="s">
        <v>115</v>
      </c>
      <c r="D49" s="55" t="s">
        <v>507</v>
      </c>
      <c r="E49" s="56" t="s">
        <v>541</v>
      </c>
      <c r="F49" s="54" t="s">
        <v>369</v>
      </c>
      <c r="G49" s="57">
        <v>9</v>
      </c>
      <c r="H49" s="57">
        <v>8</v>
      </c>
      <c r="I49" s="64" t="s">
        <v>0</v>
      </c>
      <c r="J49" s="57">
        <v>7.5</v>
      </c>
      <c r="K49" s="10"/>
      <c r="L49" s="68">
        <v>7.3</v>
      </c>
      <c r="M49" s="69" t="str">
        <f>IFERROR(LOOKUP(INT(L49),Sheet1!$A$2:$A$12,Sheet1!$B$2:$B$12)&amp;" phẩy "&amp;(LOOKUP(ROUND(L49-INT(L49),1)*10,Sheet1!$A$2:$A$12,Sheet1!$C$2:$C$12)),"")</f>
        <v>Bảy phẩy ba</v>
      </c>
      <c r="N49" s="41"/>
      <c r="O49" s="20" t="s">
        <v>0</v>
      </c>
      <c r="P49" s="7">
        <f t="shared" si="0"/>
        <v>3.2</v>
      </c>
      <c r="Q49" s="8" t="str">
        <f t="shared" si="1"/>
        <v/>
      </c>
      <c r="R49" s="39" t="str">
        <f t="shared" si="2"/>
        <v>09</v>
      </c>
      <c r="S49" s="8" t="str">
        <f t="shared" si="3"/>
        <v/>
      </c>
      <c r="T49" s="9" t="s">
        <v>2</v>
      </c>
      <c r="U49" s="27" t="s">
        <v>4</v>
      </c>
      <c r="V49" s="31" t="s">
        <v>575</v>
      </c>
      <c r="W49" s="9" t="s">
        <v>41</v>
      </c>
      <c r="X49" s="9" t="s">
        <v>345</v>
      </c>
      <c r="Y49" s="9" t="s">
        <v>35</v>
      </c>
    </row>
    <row r="50" spans="1:25" ht="20.25" hidden="1" customHeight="1" x14ac:dyDescent="0.3">
      <c r="A50" s="1">
        <v>624</v>
      </c>
      <c r="B50" s="6">
        <f>IF(LEN(C50=0),SUBTOTAL(3,$C$10:C50),"")</f>
        <v>0</v>
      </c>
      <c r="C50" s="54" t="s">
        <v>229</v>
      </c>
      <c r="D50" s="55" t="s">
        <v>542</v>
      </c>
      <c r="E50" s="56" t="s">
        <v>433</v>
      </c>
      <c r="F50" s="54" t="s">
        <v>400</v>
      </c>
      <c r="G50" s="57">
        <v>7</v>
      </c>
      <c r="H50" s="57">
        <v>7.5</v>
      </c>
      <c r="I50" s="64" t="s">
        <v>0</v>
      </c>
      <c r="J50" s="57">
        <v>8.5</v>
      </c>
      <c r="K50" s="10"/>
      <c r="L50" s="68">
        <v>5.8</v>
      </c>
      <c r="M50" s="69" t="str">
        <f>IFERROR(LOOKUP(INT(L50),Sheet1!$A$2:$A$12,Sheet1!$B$2:$B$12)&amp;" phẩy "&amp;(LOOKUP(ROUND(L50-INT(L50),1)*10,Sheet1!$A$2:$A$12,Sheet1!$C$2:$C$12)),"")</f>
        <v>Năm phẩy tám</v>
      </c>
      <c r="N50" s="41"/>
      <c r="O50" s="20" t="s">
        <v>0</v>
      </c>
      <c r="P50" s="7">
        <f t="shared" si="0"/>
        <v>3.2</v>
      </c>
      <c r="Q50" s="8" t="str">
        <f t="shared" si="1"/>
        <v/>
      </c>
      <c r="R50" s="39" t="str">
        <f t="shared" si="2"/>
        <v>09</v>
      </c>
      <c r="S50" s="8" t="str">
        <f t="shared" si="3"/>
        <v/>
      </c>
      <c r="T50" s="9" t="s">
        <v>2</v>
      </c>
      <c r="U50" s="27" t="s">
        <v>4</v>
      </c>
      <c r="V50" s="31" t="s">
        <v>575</v>
      </c>
      <c r="W50" s="9" t="s">
        <v>41</v>
      </c>
      <c r="X50" s="9" t="s">
        <v>345</v>
      </c>
      <c r="Y50" s="9" t="s">
        <v>35</v>
      </c>
    </row>
    <row r="51" spans="1:25" ht="20.25" hidden="1" customHeight="1" x14ac:dyDescent="0.3">
      <c r="A51" s="1">
        <v>625</v>
      </c>
      <c r="B51" s="6">
        <f>IF(LEN(C51=0),SUBTOTAL(3,$C$10:C51),"")</f>
        <v>0</v>
      </c>
      <c r="C51" s="54" t="s">
        <v>209</v>
      </c>
      <c r="D51" s="55" t="s">
        <v>508</v>
      </c>
      <c r="E51" s="56" t="s">
        <v>435</v>
      </c>
      <c r="F51" s="54" t="s">
        <v>356</v>
      </c>
      <c r="G51" s="57">
        <v>9</v>
      </c>
      <c r="H51" s="57">
        <v>8</v>
      </c>
      <c r="I51" s="64" t="s">
        <v>0</v>
      </c>
      <c r="J51" s="57">
        <v>7</v>
      </c>
      <c r="K51" s="10"/>
      <c r="L51" s="68">
        <v>7.3</v>
      </c>
      <c r="M51" s="69" t="str">
        <f>IFERROR(LOOKUP(INT(L51),Sheet1!$A$2:$A$12,Sheet1!$B$2:$B$12)&amp;" phẩy "&amp;(LOOKUP(ROUND(L51-INT(L51),1)*10,Sheet1!$A$2:$A$12,Sheet1!$C$2:$C$12)),"")</f>
        <v>Bảy phẩy ba</v>
      </c>
      <c r="N51" s="41"/>
      <c r="O51" s="20" t="s">
        <v>0</v>
      </c>
      <c r="P51" s="7">
        <f t="shared" si="0"/>
        <v>3.1</v>
      </c>
      <c r="Q51" s="8" t="str">
        <f t="shared" si="1"/>
        <v/>
      </c>
      <c r="R51" s="39" t="str">
        <f t="shared" si="2"/>
        <v>09</v>
      </c>
      <c r="S51" s="8" t="str">
        <f t="shared" si="3"/>
        <v/>
      </c>
      <c r="T51" s="9" t="s">
        <v>2</v>
      </c>
      <c r="U51" s="27" t="s">
        <v>4</v>
      </c>
      <c r="V51" s="31" t="s">
        <v>575</v>
      </c>
      <c r="W51" s="9" t="s">
        <v>41</v>
      </c>
      <c r="X51" s="9" t="s">
        <v>345</v>
      </c>
      <c r="Y51" s="9" t="s">
        <v>35</v>
      </c>
    </row>
    <row r="52" spans="1:25" ht="20.25" hidden="1" customHeight="1" x14ac:dyDescent="0.3">
      <c r="A52" s="1">
        <v>626</v>
      </c>
      <c r="B52" s="6">
        <f>IF(LEN(C52=0),SUBTOTAL(3,$C$10:C52),"")</f>
        <v>0</v>
      </c>
      <c r="C52" s="54" t="s">
        <v>230</v>
      </c>
      <c r="D52" s="55" t="s">
        <v>416</v>
      </c>
      <c r="E52" s="56" t="s">
        <v>435</v>
      </c>
      <c r="F52" s="54" t="s">
        <v>359</v>
      </c>
      <c r="G52" s="57">
        <v>9</v>
      </c>
      <c r="H52" s="57">
        <v>8</v>
      </c>
      <c r="I52" s="64" t="s">
        <v>0</v>
      </c>
      <c r="J52" s="57">
        <v>7.5</v>
      </c>
      <c r="K52" s="10"/>
      <c r="L52" s="68">
        <v>8.1999999999999993</v>
      </c>
      <c r="M52" s="69" t="str">
        <f>IFERROR(LOOKUP(INT(L52),Sheet1!$A$2:$A$12,Sheet1!$B$2:$B$12)&amp;" phẩy "&amp;(LOOKUP(ROUND(L52-INT(L52),1)*10,Sheet1!$A$2:$A$12,Sheet1!$C$2:$C$12)),"")</f>
        <v>Tám phẩy hai</v>
      </c>
      <c r="N52" s="41"/>
      <c r="O52" s="20" t="s">
        <v>0</v>
      </c>
      <c r="P52" s="7">
        <f t="shared" si="0"/>
        <v>3.2</v>
      </c>
      <c r="Q52" s="8" t="str">
        <f t="shared" si="1"/>
        <v/>
      </c>
      <c r="R52" s="39" t="str">
        <f t="shared" si="2"/>
        <v>09</v>
      </c>
      <c r="S52" s="8" t="str">
        <f t="shared" si="3"/>
        <v/>
      </c>
      <c r="T52" s="9" t="s">
        <v>2</v>
      </c>
      <c r="U52" s="27" t="s">
        <v>4</v>
      </c>
      <c r="V52" s="31" t="s">
        <v>575</v>
      </c>
      <c r="W52" s="9" t="s">
        <v>41</v>
      </c>
      <c r="X52" s="9" t="s">
        <v>345</v>
      </c>
      <c r="Y52" s="9" t="s">
        <v>35</v>
      </c>
    </row>
    <row r="53" spans="1:25" ht="20.25" hidden="1" customHeight="1" x14ac:dyDescent="0.3">
      <c r="A53" s="1">
        <v>627</v>
      </c>
      <c r="B53" s="6">
        <f>IF(LEN(C53=0),SUBTOTAL(3,$C$10:C53),"")</f>
        <v>0</v>
      </c>
      <c r="C53" s="54" t="s">
        <v>181</v>
      </c>
      <c r="D53" s="55" t="s">
        <v>543</v>
      </c>
      <c r="E53" s="56" t="s">
        <v>544</v>
      </c>
      <c r="F53" s="54" t="s">
        <v>366</v>
      </c>
      <c r="G53" s="57">
        <v>9</v>
      </c>
      <c r="H53" s="57">
        <v>8</v>
      </c>
      <c r="I53" s="64" t="s">
        <v>0</v>
      </c>
      <c r="J53" s="57">
        <v>8.5</v>
      </c>
      <c r="K53" s="10"/>
      <c r="L53" s="68">
        <v>8.1999999999999993</v>
      </c>
      <c r="M53" s="69" t="str">
        <f>IFERROR(LOOKUP(INT(L53),Sheet1!$A$2:$A$12,Sheet1!$B$2:$B$12)&amp;" phẩy "&amp;(LOOKUP(ROUND(L53-INT(L53),1)*10,Sheet1!$A$2:$A$12,Sheet1!$C$2:$C$12)),"")</f>
        <v>Tám phẩy hai</v>
      </c>
      <c r="N53" s="41"/>
      <c r="O53" s="20" t="s">
        <v>0</v>
      </c>
      <c r="P53" s="7">
        <f t="shared" si="0"/>
        <v>3.4</v>
      </c>
      <c r="Q53" s="8" t="str">
        <f t="shared" si="1"/>
        <v/>
      </c>
      <c r="R53" s="39" t="str">
        <f t="shared" si="2"/>
        <v>09</v>
      </c>
      <c r="S53" s="8" t="str">
        <f t="shared" si="3"/>
        <v/>
      </c>
      <c r="T53" s="9" t="s">
        <v>2</v>
      </c>
      <c r="U53" s="27" t="s">
        <v>4</v>
      </c>
      <c r="V53" s="31" t="s">
        <v>575</v>
      </c>
      <c r="W53" s="9" t="s">
        <v>41</v>
      </c>
      <c r="X53" s="9" t="s">
        <v>345</v>
      </c>
      <c r="Y53" s="9" t="s">
        <v>35</v>
      </c>
    </row>
    <row r="54" spans="1:25" ht="20.25" hidden="1" customHeight="1" x14ac:dyDescent="0.3">
      <c r="A54" s="1">
        <v>628</v>
      </c>
      <c r="B54" s="6">
        <f>IF(LEN(C54=0),SUBTOTAL(3,$C$10:C54),"")</f>
        <v>0</v>
      </c>
      <c r="C54" s="54" t="s">
        <v>196</v>
      </c>
      <c r="D54" s="55" t="s">
        <v>545</v>
      </c>
      <c r="E54" s="56" t="s">
        <v>437</v>
      </c>
      <c r="F54" s="54" t="s">
        <v>362</v>
      </c>
      <c r="G54" s="57">
        <v>10</v>
      </c>
      <c r="H54" s="57">
        <v>8</v>
      </c>
      <c r="I54" s="64" t="s">
        <v>0</v>
      </c>
      <c r="J54" s="57">
        <v>8.5</v>
      </c>
      <c r="K54" s="10"/>
      <c r="L54" s="68">
        <v>7.5</v>
      </c>
      <c r="M54" s="69" t="str">
        <f>IFERROR(LOOKUP(INT(L54),Sheet1!$A$2:$A$12,Sheet1!$B$2:$B$12)&amp;" phẩy "&amp;(LOOKUP(ROUND(L54-INT(L54),1)*10,Sheet1!$A$2:$A$12,Sheet1!$C$2:$C$12)),"")</f>
        <v>Bảy phẩy năm</v>
      </c>
      <c r="N54" s="41"/>
      <c r="O54" s="20" t="s">
        <v>0</v>
      </c>
      <c r="P54" s="7">
        <f t="shared" si="0"/>
        <v>3.5</v>
      </c>
      <c r="Q54" s="8" t="str">
        <f t="shared" si="1"/>
        <v/>
      </c>
      <c r="R54" s="39" t="str">
        <f t="shared" si="2"/>
        <v>09</v>
      </c>
      <c r="S54" s="8" t="str">
        <f t="shared" si="3"/>
        <v/>
      </c>
      <c r="T54" s="9" t="s">
        <v>2</v>
      </c>
      <c r="U54" s="27" t="s">
        <v>4</v>
      </c>
      <c r="V54" s="31" t="s">
        <v>575</v>
      </c>
      <c r="W54" s="9" t="s">
        <v>41</v>
      </c>
      <c r="X54" s="9" t="s">
        <v>345</v>
      </c>
      <c r="Y54" s="9" t="s">
        <v>35</v>
      </c>
    </row>
    <row r="55" spans="1:25" ht="20.25" hidden="1" customHeight="1" x14ac:dyDescent="0.3">
      <c r="A55" s="1">
        <v>629</v>
      </c>
      <c r="B55" s="6">
        <f>IF(LEN(C55=0),SUBTOTAL(3,$C$10:C55),"")</f>
        <v>0</v>
      </c>
      <c r="C55" s="54" t="s">
        <v>211</v>
      </c>
      <c r="D55" s="55" t="s">
        <v>546</v>
      </c>
      <c r="E55" s="56" t="s">
        <v>437</v>
      </c>
      <c r="F55" s="54" t="s">
        <v>400</v>
      </c>
      <c r="G55" s="57">
        <v>6</v>
      </c>
      <c r="H55" s="57">
        <v>8.5</v>
      </c>
      <c r="I55" s="64" t="s">
        <v>0</v>
      </c>
      <c r="J55" s="57">
        <v>8</v>
      </c>
      <c r="K55" s="10"/>
      <c r="L55" s="68">
        <v>4.8</v>
      </c>
      <c r="M55" s="69" t="str">
        <f>IFERROR(LOOKUP(INT(L55),Sheet1!$A$2:$A$12,Sheet1!$B$2:$B$12)&amp;" phẩy "&amp;(LOOKUP(ROUND(L55-INT(L55),1)*10,Sheet1!$A$2:$A$12,Sheet1!$C$2:$C$12)),"")</f>
        <v>Bốn phẩy tám</v>
      </c>
      <c r="N55" s="41"/>
      <c r="O55" s="20" t="s">
        <v>0</v>
      </c>
      <c r="P55" s="7">
        <f t="shared" si="0"/>
        <v>3.1</v>
      </c>
      <c r="Q55" s="8" t="str">
        <f t="shared" si="1"/>
        <v/>
      </c>
      <c r="R55" s="39" t="str">
        <f t="shared" si="2"/>
        <v>09</v>
      </c>
      <c r="S55" s="8" t="str">
        <f t="shared" si="3"/>
        <v/>
      </c>
      <c r="T55" s="9" t="s">
        <v>2</v>
      </c>
      <c r="U55" s="27" t="s">
        <v>4</v>
      </c>
      <c r="V55" s="31" t="s">
        <v>575</v>
      </c>
      <c r="W55" s="9" t="s">
        <v>41</v>
      </c>
      <c r="X55" s="9" t="s">
        <v>345</v>
      </c>
      <c r="Y55" s="9" t="s">
        <v>35</v>
      </c>
    </row>
    <row r="56" spans="1:25" ht="20.25" hidden="1" customHeight="1" x14ac:dyDescent="0.3">
      <c r="A56" s="1">
        <v>630</v>
      </c>
      <c r="B56" s="6">
        <f>IF(LEN(C56=0),SUBTOTAL(3,$C$10:C56),"")</f>
        <v>0</v>
      </c>
      <c r="C56" s="54" t="s">
        <v>256</v>
      </c>
      <c r="D56" s="55" t="s">
        <v>487</v>
      </c>
      <c r="E56" s="56" t="s">
        <v>547</v>
      </c>
      <c r="F56" s="54" t="s">
        <v>372</v>
      </c>
      <c r="G56" s="57">
        <v>9.5</v>
      </c>
      <c r="H56" s="57">
        <v>7</v>
      </c>
      <c r="I56" s="64" t="s">
        <v>0</v>
      </c>
      <c r="J56" s="57">
        <v>7</v>
      </c>
      <c r="K56" s="10"/>
      <c r="L56" s="68">
        <v>8.5</v>
      </c>
      <c r="M56" s="69" t="str">
        <f>IFERROR(LOOKUP(INT(L56),Sheet1!$A$2:$A$12,Sheet1!$B$2:$B$12)&amp;" phẩy "&amp;(LOOKUP(ROUND(L56-INT(L56),1)*10,Sheet1!$A$2:$A$12,Sheet1!$C$2:$C$12)),"")</f>
        <v>Tám phẩy năm</v>
      </c>
      <c r="N56" s="41"/>
      <c r="O56" s="20" t="s">
        <v>0</v>
      </c>
      <c r="P56" s="7">
        <f t="shared" si="0"/>
        <v>3.1</v>
      </c>
      <c r="Q56" s="8" t="str">
        <f t="shared" si="1"/>
        <v/>
      </c>
      <c r="R56" s="39" t="str">
        <f t="shared" si="2"/>
        <v>09</v>
      </c>
      <c r="S56" s="8" t="str">
        <f t="shared" si="3"/>
        <v/>
      </c>
      <c r="T56" s="9" t="s">
        <v>2</v>
      </c>
      <c r="U56" s="27" t="s">
        <v>4</v>
      </c>
      <c r="V56" s="31" t="s">
        <v>575</v>
      </c>
      <c r="W56" s="9" t="s">
        <v>41</v>
      </c>
      <c r="X56" s="9" t="s">
        <v>345</v>
      </c>
      <c r="Y56" s="9" t="s">
        <v>35</v>
      </c>
    </row>
    <row r="57" spans="1:25" ht="20.25" hidden="1" customHeight="1" x14ac:dyDescent="0.3">
      <c r="A57" s="1">
        <v>631</v>
      </c>
      <c r="B57" s="6">
        <f>IF(LEN(C57=0),SUBTOTAL(3,$C$10:C57),"")</f>
        <v>0</v>
      </c>
      <c r="C57" s="54" t="s">
        <v>263</v>
      </c>
      <c r="D57" s="55" t="s">
        <v>548</v>
      </c>
      <c r="E57" s="56" t="s">
        <v>496</v>
      </c>
      <c r="F57" s="54" t="s">
        <v>359</v>
      </c>
      <c r="G57" s="57">
        <v>10</v>
      </c>
      <c r="H57" s="57">
        <v>8</v>
      </c>
      <c r="I57" s="64" t="s">
        <v>0</v>
      </c>
      <c r="J57" s="57">
        <v>7</v>
      </c>
      <c r="K57" s="10"/>
      <c r="L57" s="68">
        <v>6.2</v>
      </c>
      <c r="M57" s="69" t="str">
        <f>IFERROR(LOOKUP(INT(L57),Sheet1!$A$2:$A$12,Sheet1!$B$2:$B$12)&amp;" phẩy "&amp;(LOOKUP(ROUND(L57-INT(L57),1)*10,Sheet1!$A$2:$A$12,Sheet1!$C$2:$C$12)),"")</f>
        <v>Sáu phẩy hai</v>
      </c>
      <c r="N57" s="41"/>
      <c r="O57" s="20" t="s">
        <v>0</v>
      </c>
      <c r="P57" s="7">
        <f t="shared" si="0"/>
        <v>3.2</v>
      </c>
      <c r="Q57" s="8" t="str">
        <f t="shared" si="1"/>
        <v/>
      </c>
      <c r="R57" s="39" t="str">
        <f t="shared" si="2"/>
        <v>09</v>
      </c>
      <c r="S57" s="8" t="str">
        <f t="shared" si="3"/>
        <v/>
      </c>
      <c r="T57" s="9" t="s">
        <v>2</v>
      </c>
      <c r="U57" s="27" t="s">
        <v>4</v>
      </c>
      <c r="V57" s="31" t="s">
        <v>575</v>
      </c>
      <c r="W57" s="9" t="s">
        <v>41</v>
      </c>
      <c r="X57" s="9" t="s">
        <v>345</v>
      </c>
      <c r="Y57" s="9" t="s">
        <v>35</v>
      </c>
    </row>
    <row r="58" spans="1:25" ht="20.25" hidden="1" customHeight="1" x14ac:dyDescent="0.3">
      <c r="A58" s="1">
        <v>632</v>
      </c>
      <c r="B58" s="6">
        <f>IF(LEN(C58=0),SUBTOTAL(3,$C$10:C58),"")</f>
        <v>0</v>
      </c>
      <c r="C58" s="54" t="s">
        <v>197</v>
      </c>
      <c r="D58" s="55" t="s">
        <v>549</v>
      </c>
      <c r="E58" s="56" t="s">
        <v>550</v>
      </c>
      <c r="F58" s="54" t="s">
        <v>364</v>
      </c>
      <c r="G58" s="57">
        <v>9</v>
      </c>
      <c r="H58" s="57">
        <v>8.5</v>
      </c>
      <c r="I58" s="64" t="s">
        <v>0</v>
      </c>
      <c r="J58" s="57">
        <v>8</v>
      </c>
      <c r="K58" s="10"/>
      <c r="L58" s="68">
        <v>9</v>
      </c>
      <c r="M58" s="69" t="str">
        <f>IFERROR(LOOKUP(INT(L58),Sheet1!$A$2:$A$12,Sheet1!$B$2:$B$12)&amp;" phẩy "&amp;(LOOKUP(ROUND(L58-INT(L58),1)*10,Sheet1!$A$2:$A$12,Sheet1!$C$2:$C$12)),"")</f>
        <v>Chín phẩy không</v>
      </c>
      <c r="N58" s="41"/>
      <c r="O58" s="20" t="s">
        <v>0</v>
      </c>
      <c r="P58" s="7">
        <f t="shared" si="0"/>
        <v>3.4</v>
      </c>
      <c r="Q58" s="8" t="str">
        <f t="shared" si="1"/>
        <v/>
      </c>
      <c r="R58" s="39" t="str">
        <f t="shared" si="2"/>
        <v>09</v>
      </c>
      <c r="S58" s="8" t="str">
        <f t="shared" si="3"/>
        <v/>
      </c>
      <c r="T58" s="9" t="s">
        <v>2</v>
      </c>
      <c r="U58" s="27" t="s">
        <v>4</v>
      </c>
      <c r="V58" s="31" t="s">
        <v>575</v>
      </c>
      <c r="W58" s="9" t="s">
        <v>41</v>
      </c>
      <c r="X58" s="9" t="s">
        <v>345</v>
      </c>
      <c r="Y58" s="9" t="s">
        <v>35</v>
      </c>
    </row>
    <row r="59" spans="1:25" ht="20.25" hidden="1" customHeight="1" x14ac:dyDescent="0.3">
      <c r="A59" s="1">
        <v>633</v>
      </c>
      <c r="B59" s="6">
        <f>IF(LEN(C59=0),SUBTOTAL(3,$C$10:C59),"")</f>
        <v>0</v>
      </c>
      <c r="C59" s="54" t="s">
        <v>168</v>
      </c>
      <c r="D59" s="55" t="s">
        <v>551</v>
      </c>
      <c r="E59" s="56" t="s">
        <v>515</v>
      </c>
      <c r="F59" s="54" t="s">
        <v>385</v>
      </c>
      <c r="G59" s="57">
        <v>8</v>
      </c>
      <c r="H59" s="57">
        <v>8</v>
      </c>
      <c r="I59" s="64" t="s">
        <v>0</v>
      </c>
      <c r="J59" s="57">
        <v>7</v>
      </c>
      <c r="K59" s="10"/>
      <c r="L59" s="68">
        <v>4.2</v>
      </c>
      <c r="M59" s="69" t="str">
        <f>IFERROR(LOOKUP(INT(L59),Sheet1!$A$2:$A$12,Sheet1!$B$2:$B$12)&amp;" phẩy "&amp;(LOOKUP(ROUND(L59-INT(L59),1)*10,Sheet1!$A$2:$A$12,Sheet1!$C$2:$C$12)),"")</f>
        <v>Bốn phẩy hai</v>
      </c>
      <c r="N59" s="41"/>
      <c r="O59" s="20" t="s">
        <v>0</v>
      </c>
      <c r="P59" s="7">
        <f t="shared" si="0"/>
        <v>3</v>
      </c>
      <c r="Q59" s="8" t="str">
        <f t="shared" si="1"/>
        <v/>
      </c>
      <c r="R59" s="39" t="str">
        <f t="shared" si="2"/>
        <v>09</v>
      </c>
      <c r="S59" s="8" t="str">
        <f t="shared" si="3"/>
        <v/>
      </c>
      <c r="T59" s="9" t="s">
        <v>2</v>
      </c>
      <c r="U59" s="27" t="s">
        <v>4</v>
      </c>
      <c r="V59" s="31" t="s">
        <v>575</v>
      </c>
      <c r="W59" s="9" t="s">
        <v>41</v>
      </c>
      <c r="X59" s="9" t="s">
        <v>345</v>
      </c>
      <c r="Y59" s="9" t="s">
        <v>35</v>
      </c>
    </row>
    <row r="60" spans="1:25" ht="20.25" hidden="1" customHeight="1" x14ac:dyDescent="0.3">
      <c r="A60" s="1">
        <v>634</v>
      </c>
      <c r="B60" s="6">
        <f>IF(LEN(C60=0),SUBTOTAL(3,$C$10:C60),"")</f>
        <v>0</v>
      </c>
      <c r="C60" s="54" t="s">
        <v>159</v>
      </c>
      <c r="D60" s="55" t="s">
        <v>552</v>
      </c>
      <c r="E60" s="56" t="s">
        <v>553</v>
      </c>
      <c r="F60" s="54" t="s">
        <v>369</v>
      </c>
      <c r="G60" s="57">
        <v>9</v>
      </c>
      <c r="H60" s="57">
        <v>8.5</v>
      </c>
      <c r="I60" s="64" t="s">
        <v>0</v>
      </c>
      <c r="J60" s="57">
        <v>8</v>
      </c>
      <c r="K60" s="10"/>
      <c r="L60" s="68">
        <v>7.5</v>
      </c>
      <c r="M60" s="69" t="str">
        <f>IFERROR(LOOKUP(INT(L60),Sheet1!$A$2:$A$12,Sheet1!$B$2:$B$12)&amp;" phẩy "&amp;(LOOKUP(ROUND(L60-INT(L60),1)*10,Sheet1!$A$2:$A$12,Sheet1!$C$2:$C$12)),"")</f>
        <v>Bảy phẩy năm</v>
      </c>
      <c r="N60" s="41"/>
      <c r="O60" s="20" t="s">
        <v>0</v>
      </c>
      <c r="P60" s="7">
        <f t="shared" si="0"/>
        <v>3.4</v>
      </c>
      <c r="Q60" s="8" t="str">
        <f t="shared" si="1"/>
        <v/>
      </c>
      <c r="R60" s="39" t="str">
        <f t="shared" si="2"/>
        <v>09</v>
      </c>
      <c r="S60" s="8" t="str">
        <f t="shared" si="3"/>
        <v/>
      </c>
      <c r="T60" s="9" t="s">
        <v>2</v>
      </c>
      <c r="U60" s="27" t="s">
        <v>4</v>
      </c>
      <c r="V60" s="31" t="s">
        <v>575</v>
      </c>
      <c r="W60" s="9" t="s">
        <v>41</v>
      </c>
      <c r="X60" s="9" t="s">
        <v>345</v>
      </c>
      <c r="Y60" s="9" t="s">
        <v>35</v>
      </c>
    </row>
    <row r="61" spans="1:25" ht="20.25" hidden="1" customHeight="1" x14ac:dyDescent="0.3">
      <c r="A61" s="1">
        <v>635</v>
      </c>
      <c r="B61" s="6">
        <f>IF(LEN(C61=0),SUBTOTAL(3,$C$10:C61),"")</f>
        <v>0</v>
      </c>
      <c r="C61" s="54" t="s">
        <v>146</v>
      </c>
      <c r="D61" s="55" t="s">
        <v>554</v>
      </c>
      <c r="E61" s="56" t="s">
        <v>555</v>
      </c>
      <c r="F61" s="54" t="s">
        <v>413</v>
      </c>
      <c r="G61" s="57">
        <v>10</v>
      </c>
      <c r="H61" s="57">
        <v>8.5</v>
      </c>
      <c r="I61" s="64" t="s">
        <v>0</v>
      </c>
      <c r="J61" s="57">
        <v>8</v>
      </c>
      <c r="K61" s="10"/>
      <c r="L61" s="68">
        <v>3.8</v>
      </c>
      <c r="M61" s="69" t="str">
        <f>IFERROR(LOOKUP(INT(L61),Sheet1!$A$2:$A$12,Sheet1!$B$2:$B$12)&amp;" phẩy "&amp;(LOOKUP(ROUND(L61-INT(L61),1)*10,Sheet1!$A$2:$A$12,Sheet1!$C$2:$C$12)),"")</f>
        <v>Ba phẩy tám</v>
      </c>
      <c r="N61" s="41"/>
      <c r="O61" s="20" t="s">
        <v>0</v>
      </c>
      <c r="P61" s="7">
        <f t="shared" si="0"/>
        <v>3.5</v>
      </c>
      <c r="Q61" s="8" t="str">
        <f t="shared" si="1"/>
        <v/>
      </c>
      <c r="R61" s="39" t="str">
        <f t="shared" si="2"/>
        <v>09</v>
      </c>
      <c r="S61" s="8" t="str">
        <f t="shared" si="3"/>
        <v/>
      </c>
      <c r="T61" s="9" t="s">
        <v>2</v>
      </c>
      <c r="U61" s="27" t="s">
        <v>4</v>
      </c>
      <c r="V61" s="31" t="s">
        <v>575</v>
      </c>
      <c r="W61" s="9" t="s">
        <v>41</v>
      </c>
      <c r="X61" s="9" t="s">
        <v>345</v>
      </c>
      <c r="Y61" s="9" t="s">
        <v>35</v>
      </c>
    </row>
    <row r="62" spans="1:25" ht="20.25" hidden="1" customHeight="1" x14ac:dyDescent="0.3">
      <c r="A62" s="1">
        <v>636</v>
      </c>
      <c r="B62" s="6">
        <f>IF(LEN(C62=0),SUBTOTAL(3,$C$10:C62),"")</f>
        <v>0</v>
      </c>
      <c r="C62" s="54" t="s">
        <v>214</v>
      </c>
      <c r="D62" s="55" t="s">
        <v>504</v>
      </c>
      <c r="E62" s="56" t="s">
        <v>443</v>
      </c>
      <c r="F62" s="54" t="s">
        <v>372</v>
      </c>
      <c r="G62" s="57">
        <v>2</v>
      </c>
      <c r="H62" s="57">
        <v>3</v>
      </c>
      <c r="I62" s="64" t="s">
        <v>0</v>
      </c>
      <c r="J62" s="57">
        <v>3</v>
      </c>
      <c r="K62" s="10"/>
      <c r="L62" s="68" t="s">
        <v>0</v>
      </c>
      <c r="M62" s="69" t="str">
        <f>IFERROR(LOOKUP(INT(L62),Sheet1!$A$2:$A$12,Sheet1!$B$2:$B$12)&amp;" phẩy "&amp;(LOOKUP(ROUND(L62-INT(L62),1)*10,Sheet1!$A$2:$A$12,Sheet1!$C$2:$C$12)),"")</f>
        <v/>
      </c>
      <c r="N62" s="41"/>
      <c r="O62" s="20" t="s">
        <v>0</v>
      </c>
      <c r="P62" s="7">
        <f t="shared" si="0"/>
        <v>1.1000000000000001</v>
      </c>
      <c r="Q62" s="8" t="str">
        <f t="shared" si="1"/>
        <v/>
      </c>
      <c r="R62" s="39" t="str">
        <f t="shared" si="2"/>
        <v>09</v>
      </c>
      <c r="S62" s="8" t="str">
        <f t="shared" si="3"/>
        <v/>
      </c>
      <c r="T62" s="9" t="s">
        <v>2</v>
      </c>
      <c r="U62" s="27" t="s">
        <v>4</v>
      </c>
      <c r="V62" s="31" t="s">
        <v>575</v>
      </c>
      <c r="W62" s="9" t="s">
        <v>41</v>
      </c>
      <c r="X62" s="9" t="s">
        <v>345</v>
      </c>
      <c r="Y62" s="9" t="s">
        <v>35</v>
      </c>
    </row>
    <row r="63" spans="1:25" ht="20.25" hidden="1" customHeight="1" x14ac:dyDescent="0.3">
      <c r="A63" s="1">
        <v>637</v>
      </c>
      <c r="B63" s="6">
        <f>IF(LEN(C63=0),SUBTOTAL(3,$C$10:C63),"")</f>
        <v>0</v>
      </c>
      <c r="C63" s="54" t="s">
        <v>186</v>
      </c>
      <c r="D63" s="55" t="s">
        <v>556</v>
      </c>
      <c r="E63" s="56" t="s">
        <v>445</v>
      </c>
      <c r="F63" s="54" t="s">
        <v>364</v>
      </c>
      <c r="G63" s="57">
        <v>9</v>
      </c>
      <c r="H63" s="57">
        <v>8.5</v>
      </c>
      <c r="I63" s="64" t="s">
        <v>0</v>
      </c>
      <c r="J63" s="57">
        <v>8</v>
      </c>
      <c r="K63" s="10"/>
      <c r="L63" s="68">
        <v>8.3000000000000007</v>
      </c>
      <c r="M63" s="69" t="str">
        <f>IFERROR(LOOKUP(INT(L63),Sheet1!$A$2:$A$12,Sheet1!$B$2:$B$12)&amp;" phẩy "&amp;(LOOKUP(ROUND(L63-INT(L63),1)*10,Sheet1!$A$2:$A$12,Sheet1!$C$2:$C$12)),"")</f>
        <v>Tám phẩy ba</v>
      </c>
      <c r="N63" s="41"/>
      <c r="O63" s="20" t="s">
        <v>0</v>
      </c>
      <c r="P63" s="7">
        <f t="shared" si="0"/>
        <v>3.4</v>
      </c>
      <c r="Q63" s="8" t="str">
        <f t="shared" si="1"/>
        <v/>
      </c>
      <c r="R63" s="39" t="str">
        <f t="shared" si="2"/>
        <v>09</v>
      </c>
      <c r="S63" s="8" t="str">
        <f t="shared" si="3"/>
        <v/>
      </c>
      <c r="T63" s="9" t="s">
        <v>2</v>
      </c>
      <c r="U63" s="27" t="s">
        <v>4</v>
      </c>
      <c r="V63" s="31" t="s">
        <v>575</v>
      </c>
      <c r="W63" s="9" t="s">
        <v>41</v>
      </c>
      <c r="X63" s="9" t="s">
        <v>345</v>
      </c>
      <c r="Y63" s="9" t="s">
        <v>35</v>
      </c>
    </row>
    <row r="64" spans="1:25" ht="20.25" hidden="1" customHeight="1" x14ac:dyDescent="0.3">
      <c r="A64" s="1">
        <v>638</v>
      </c>
      <c r="B64" s="6">
        <f>IF(LEN(C64=0),SUBTOTAL(3,$C$10:C64),"")</f>
        <v>0</v>
      </c>
      <c r="C64" s="54" t="s">
        <v>212</v>
      </c>
      <c r="D64" s="55" t="s">
        <v>557</v>
      </c>
      <c r="E64" s="56" t="s">
        <v>509</v>
      </c>
      <c r="F64" s="54" t="s">
        <v>359</v>
      </c>
      <c r="G64" s="57">
        <v>8</v>
      </c>
      <c r="H64" s="57">
        <v>8</v>
      </c>
      <c r="I64" s="64" t="s">
        <v>0</v>
      </c>
      <c r="J64" s="57">
        <v>7.5</v>
      </c>
      <c r="K64" s="10"/>
      <c r="L64" s="68">
        <v>6.7</v>
      </c>
      <c r="M64" s="69" t="str">
        <f>IFERROR(LOOKUP(INT(L64),Sheet1!$A$2:$A$12,Sheet1!$B$2:$B$12)&amp;" phẩy "&amp;(LOOKUP(ROUND(L64-INT(L64),1)*10,Sheet1!$A$2:$A$12,Sheet1!$C$2:$C$12)),"")</f>
        <v>Sáu phẩy bảy</v>
      </c>
      <c r="N64" s="41"/>
      <c r="O64" s="20" t="s">
        <v>0</v>
      </c>
      <c r="P64" s="7">
        <f t="shared" si="0"/>
        <v>3.1</v>
      </c>
      <c r="Q64" s="8" t="str">
        <f t="shared" si="1"/>
        <v/>
      </c>
      <c r="R64" s="39" t="str">
        <f t="shared" si="2"/>
        <v>09</v>
      </c>
      <c r="S64" s="8" t="str">
        <f t="shared" si="3"/>
        <v/>
      </c>
      <c r="T64" s="9" t="s">
        <v>2</v>
      </c>
      <c r="U64" s="27" t="s">
        <v>4</v>
      </c>
      <c r="V64" s="31" t="s">
        <v>575</v>
      </c>
      <c r="W64" s="9" t="s">
        <v>41</v>
      </c>
      <c r="X64" s="9" t="s">
        <v>345</v>
      </c>
      <c r="Y64" s="9" t="s">
        <v>35</v>
      </c>
    </row>
    <row r="65" spans="1:25" ht="20.25" hidden="1" customHeight="1" x14ac:dyDescent="0.3">
      <c r="A65" s="1">
        <v>639</v>
      </c>
      <c r="B65" s="6">
        <f>IF(LEN(C65=0),SUBTOTAL(3,$C$10:C65),"")</f>
        <v>0</v>
      </c>
      <c r="C65" s="54" t="s">
        <v>162</v>
      </c>
      <c r="D65" s="55" t="s">
        <v>558</v>
      </c>
      <c r="E65" s="56" t="s">
        <v>497</v>
      </c>
      <c r="F65" s="54" t="s">
        <v>364</v>
      </c>
      <c r="G65" s="57">
        <v>9</v>
      </c>
      <c r="H65" s="57">
        <v>7.5</v>
      </c>
      <c r="I65" s="64" t="s">
        <v>0</v>
      </c>
      <c r="J65" s="57">
        <v>7</v>
      </c>
      <c r="K65" s="10"/>
      <c r="L65" s="68">
        <v>6.3</v>
      </c>
      <c r="M65" s="69" t="str">
        <f>IFERROR(LOOKUP(INT(L65),Sheet1!$A$2:$A$12,Sheet1!$B$2:$B$12)&amp;" phẩy "&amp;(LOOKUP(ROUND(L65-INT(L65),1)*10,Sheet1!$A$2:$A$12,Sheet1!$C$2:$C$12)),"")</f>
        <v>Sáu phẩy ba</v>
      </c>
      <c r="N65" s="41"/>
      <c r="O65" s="20" t="s">
        <v>0</v>
      </c>
      <c r="P65" s="7">
        <f t="shared" si="0"/>
        <v>3.1</v>
      </c>
      <c r="Q65" s="8" t="str">
        <f t="shared" si="1"/>
        <v/>
      </c>
      <c r="R65" s="39" t="str">
        <f t="shared" si="2"/>
        <v>09</v>
      </c>
      <c r="S65" s="8" t="str">
        <f t="shared" si="3"/>
        <v/>
      </c>
      <c r="T65" s="9" t="s">
        <v>2</v>
      </c>
      <c r="U65" s="27" t="s">
        <v>4</v>
      </c>
      <c r="V65" s="31" t="s">
        <v>575</v>
      </c>
      <c r="W65" s="9" t="s">
        <v>41</v>
      </c>
      <c r="X65" s="9" t="s">
        <v>345</v>
      </c>
      <c r="Y65" s="9" t="s">
        <v>35</v>
      </c>
    </row>
    <row r="66" spans="1:25" ht="20.25" hidden="1" customHeight="1" x14ac:dyDescent="0.3">
      <c r="A66" s="1">
        <v>640</v>
      </c>
      <c r="B66" s="6">
        <f>IF(LEN(C66=0),SUBTOTAL(3,$C$10:C66),"")</f>
        <v>0</v>
      </c>
      <c r="C66" s="54" t="s">
        <v>130</v>
      </c>
      <c r="D66" s="55" t="s">
        <v>405</v>
      </c>
      <c r="E66" s="56" t="s">
        <v>488</v>
      </c>
      <c r="F66" s="54" t="s">
        <v>366</v>
      </c>
      <c r="G66" s="57">
        <v>10</v>
      </c>
      <c r="H66" s="57">
        <v>8.5</v>
      </c>
      <c r="I66" s="64" t="s">
        <v>0</v>
      </c>
      <c r="J66" s="57">
        <v>9</v>
      </c>
      <c r="K66" s="10"/>
      <c r="L66" s="68">
        <v>7</v>
      </c>
      <c r="M66" s="69" t="str">
        <f>IFERROR(LOOKUP(INT(L66),Sheet1!$A$2:$A$12,Sheet1!$B$2:$B$12)&amp;" phẩy "&amp;(LOOKUP(ROUND(L66-INT(L66),1)*10,Sheet1!$A$2:$A$12,Sheet1!$C$2:$C$12)),"")</f>
        <v>Bảy phẩy không</v>
      </c>
      <c r="N66" s="41"/>
      <c r="O66" s="20" t="s">
        <v>0</v>
      </c>
      <c r="P66" s="7">
        <f t="shared" si="0"/>
        <v>3.7</v>
      </c>
      <c r="Q66" s="8" t="str">
        <f t="shared" si="1"/>
        <v/>
      </c>
      <c r="R66" s="39" t="str">
        <f t="shared" si="2"/>
        <v>09</v>
      </c>
      <c r="S66" s="8" t="str">
        <f t="shared" si="3"/>
        <v/>
      </c>
      <c r="T66" s="9" t="s">
        <v>2</v>
      </c>
      <c r="U66" s="27" t="s">
        <v>4</v>
      </c>
      <c r="V66" s="31" t="s">
        <v>575</v>
      </c>
      <c r="W66" s="9" t="s">
        <v>41</v>
      </c>
      <c r="X66" s="9" t="s">
        <v>345</v>
      </c>
      <c r="Y66" s="9" t="s">
        <v>35</v>
      </c>
    </row>
    <row r="67" spans="1:25" ht="20.25" hidden="1" customHeight="1" x14ac:dyDescent="0.3">
      <c r="A67" s="1">
        <v>641</v>
      </c>
      <c r="B67" s="6">
        <f>IF(LEN(C67=0),SUBTOTAL(3,$C$10:C67),"")</f>
        <v>0</v>
      </c>
      <c r="C67" s="54" t="s">
        <v>219</v>
      </c>
      <c r="D67" s="55" t="s">
        <v>510</v>
      </c>
      <c r="E67" s="56" t="s">
        <v>458</v>
      </c>
      <c r="F67" s="54" t="s">
        <v>364</v>
      </c>
      <c r="G67" s="57">
        <v>10</v>
      </c>
      <c r="H67" s="57">
        <v>7</v>
      </c>
      <c r="I67" s="64" t="s">
        <v>0</v>
      </c>
      <c r="J67" s="57">
        <v>6.5</v>
      </c>
      <c r="K67" s="10"/>
      <c r="L67" s="68">
        <v>7.5</v>
      </c>
      <c r="M67" s="69" t="str">
        <f>IFERROR(LOOKUP(INT(L67),Sheet1!$A$2:$A$12,Sheet1!$B$2:$B$12)&amp;" phẩy "&amp;(LOOKUP(ROUND(L67-INT(L67),1)*10,Sheet1!$A$2:$A$12,Sheet1!$C$2:$C$12)),"")</f>
        <v>Bảy phẩy năm</v>
      </c>
      <c r="N67" s="41"/>
      <c r="O67" s="20" t="s">
        <v>0</v>
      </c>
      <c r="P67" s="7">
        <f t="shared" si="0"/>
        <v>3</v>
      </c>
      <c r="Q67" s="8" t="str">
        <f t="shared" si="1"/>
        <v/>
      </c>
      <c r="R67" s="39" t="str">
        <f t="shared" si="2"/>
        <v>09</v>
      </c>
      <c r="S67" s="8" t="str">
        <f t="shared" si="3"/>
        <v/>
      </c>
      <c r="T67" s="9" t="s">
        <v>2</v>
      </c>
      <c r="U67" s="27" t="s">
        <v>4</v>
      </c>
      <c r="V67" s="31" t="s">
        <v>575</v>
      </c>
      <c r="W67" s="9" t="s">
        <v>41</v>
      </c>
      <c r="X67" s="9" t="s">
        <v>345</v>
      </c>
      <c r="Y67" s="9" t="s">
        <v>35</v>
      </c>
    </row>
    <row r="68" spans="1:25" ht="20.25" hidden="1" customHeight="1" x14ac:dyDescent="0.3">
      <c r="A68" s="1">
        <v>642</v>
      </c>
      <c r="B68" s="6">
        <f>IF(LEN(C68=0),SUBTOTAL(3,$C$10:C68),"")</f>
        <v>0</v>
      </c>
      <c r="C68" s="54" t="s">
        <v>97</v>
      </c>
      <c r="D68" s="55" t="s">
        <v>559</v>
      </c>
      <c r="E68" s="56" t="s">
        <v>560</v>
      </c>
      <c r="F68" s="54" t="s">
        <v>362</v>
      </c>
      <c r="G68" s="57">
        <v>10</v>
      </c>
      <c r="H68" s="57">
        <v>8.5</v>
      </c>
      <c r="I68" s="64" t="s">
        <v>0</v>
      </c>
      <c r="J68" s="57">
        <v>8</v>
      </c>
      <c r="K68" s="10"/>
      <c r="L68" s="68">
        <v>8</v>
      </c>
      <c r="M68" s="69" t="str">
        <f>IFERROR(LOOKUP(INT(L68),Sheet1!$A$2:$A$12,Sheet1!$B$2:$B$12)&amp;" phẩy "&amp;(LOOKUP(ROUND(L68-INT(L68),1)*10,Sheet1!$A$2:$A$12,Sheet1!$C$2:$C$12)),"")</f>
        <v>Tám phẩy không</v>
      </c>
      <c r="N68" s="41"/>
      <c r="O68" s="20" t="s">
        <v>0</v>
      </c>
      <c r="P68" s="7">
        <f t="shared" si="0"/>
        <v>3.5</v>
      </c>
      <c r="Q68" s="8" t="str">
        <f t="shared" si="1"/>
        <v/>
      </c>
      <c r="R68" s="39" t="str">
        <f t="shared" si="2"/>
        <v>09</v>
      </c>
      <c r="S68" s="8" t="str">
        <f t="shared" si="3"/>
        <v/>
      </c>
      <c r="T68" s="9" t="s">
        <v>2</v>
      </c>
      <c r="U68" s="27" t="s">
        <v>4</v>
      </c>
      <c r="V68" s="31" t="s">
        <v>575</v>
      </c>
      <c r="W68" s="9" t="s">
        <v>41</v>
      </c>
      <c r="X68" s="9" t="s">
        <v>345</v>
      </c>
      <c r="Y68" s="9" t="s">
        <v>35</v>
      </c>
    </row>
    <row r="69" spans="1:25" ht="20.25" hidden="1" customHeight="1" x14ac:dyDescent="0.3">
      <c r="A69" s="1">
        <v>643</v>
      </c>
      <c r="B69" s="6">
        <f>IF(LEN(C69=0),SUBTOTAL(3,$C$10:C69),"")</f>
        <v>0</v>
      </c>
      <c r="C69" s="54" t="s">
        <v>163</v>
      </c>
      <c r="D69" s="55" t="s">
        <v>561</v>
      </c>
      <c r="E69" s="56" t="s">
        <v>460</v>
      </c>
      <c r="F69" s="54" t="s">
        <v>364</v>
      </c>
      <c r="G69" s="57">
        <v>10</v>
      </c>
      <c r="H69" s="57">
        <v>8</v>
      </c>
      <c r="I69" s="64" t="s">
        <v>0</v>
      </c>
      <c r="J69" s="57">
        <v>8.5</v>
      </c>
      <c r="K69" s="10"/>
      <c r="L69" s="68">
        <v>7.3</v>
      </c>
      <c r="M69" s="69" t="str">
        <f>IFERROR(LOOKUP(INT(L69),Sheet1!$A$2:$A$12,Sheet1!$B$2:$B$12)&amp;" phẩy "&amp;(LOOKUP(ROUND(L69-INT(L69),1)*10,Sheet1!$A$2:$A$12,Sheet1!$C$2:$C$12)),"")</f>
        <v>Bảy phẩy ba</v>
      </c>
      <c r="N69" s="41"/>
      <c r="O69" s="20" t="s">
        <v>0</v>
      </c>
      <c r="P69" s="7">
        <f t="shared" si="0"/>
        <v>3.5</v>
      </c>
      <c r="Q69" s="8" t="str">
        <f t="shared" si="1"/>
        <v/>
      </c>
      <c r="R69" s="39" t="str">
        <f t="shared" si="2"/>
        <v>09</v>
      </c>
      <c r="S69" s="8" t="str">
        <f t="shared" si="3"/>
        <v/>
      </c>
      <c r="T69" s="9" t="s">
        <v>2</v>
      </c>
      <c r="U69" s="27" t="s">
        <v>4</v>
      </c>
      <c r="V69" s="31" t="s">
        <v>575</v>
      </c>
      <c r="W69" s="9" t="s">
        <v>41</v>
      </c>
      <c r="X69" s="9" t="s">
        <v>345</v>
      </c>
      <c r="Y69" s="9" t="s">
        <v>35</v>
      </c>
    </row>
    <row r="70" spans="1:25" ht="20.25" hidden="1" customHeight="1" x14ac:dyDescent="0.3">
      <c r="A70" s="1">
        <v>644</v>
      </c>
      <c r="B70" s="6">
        <f>IF(LEN(C70=0),SUBTOTAL(3,$C$10:C70),"")</f>
        <v>0</v>
      </c>
      <c r="C70" s="54" t="s">
        <v>131</v>
      </c>
      <c r="D70" s="55" t="s">
        <v>562</v>
      </c>
      <c r="E70" s="56" t="s">
        <v>514</v>
      </c>
      <c r="F70" s="54" t="s">
        <v>366</v>
      </c>
      <c r="G70" s="57">
        <v>10</v>
      </c>
      <c r="H70" s="57">
        <v>8.5</v>
      </c>
      <c r="I70" s="64" t="s">
        <v>0</v>
      </c>
      <c r="J70" s="57">
        <v>9</v>
      </c>
      <c r="K70" s="10"/>
      <c r="L70" s="68">
        <v>6.3</v>
      </c>
      <c r="M70" s="69" t="str">
        <f>IFERROR(LOOKUP(INT(L70),Sheet1!$A$2:$A$12,Sheet1!$B$2:$B$12)&amp;" phẩy "&amp;(LOOKUP(ROUND(L70-INT(L70),1)*10,Sheet1!$A$2:$A$12,Sheet1!$C$2:$C$12)),"")</f>
        <v>Sáu phẩy ba</v>
      </c>
      <c r="N70" s="41"/>
      <c r="O70" s="20" t="s">
        <v>0</v>
      </c>
      <c r="P70" s="7">
        <f t="shared" si="0"/>
        <v>3.7</v>
      </c>
      <c r="Q70" s="8" t="str">
        <f t="shared" si="1"/>
        <v/>
      </c>
      <c r="R70" s="39" t="str">
        <f t="shared" si="2"/>
        <v>09</v>
      </c>
      <c r="S70" s="8" t="str">
        <f t="shared" si="3"/>
        <v/>
      </c>
      <c r="T70" s="9" t="s">
        <v>2</v>
      </c>
      <c r="U70" s="27" t="s">
        <v>4</v>
      </c>
      <c r="V70" s="31" t="s">
        <v>575</v>
      </c>
      <c r="W70" s="9" t="s">
        <v>41</v>
      </c>
      <c r="X70" s="9" t="s">
        <v>345</v>
      </c>
      <c r="Y70" s="9" t="s">
        <v>35</v>
      </c>
    </row>
    <row r="71" spans="1:25" ht="20.25" hidden="1" customHeight="1" x14ac:dyDescent="0.3">
      <c r="A71" s="1">
        <v>645</v>
      </c>
      <c r="B71" s="6">
        <f>IF(LEN(C71=0),SUBTOTAL(3,$C$10:C71),"")</f>
        <v>0</v>
      </c>
      <c r="C71" s="54" t="s">
        <v>164</v>
      </c>
      <c r="D71" s="55" t="s">
        <v>563</v>
      </c>
      <c r="E71" s="56" t="s">
        <v>564</v>
      </c>
      <c r="F71" s="54" t="s">
        <v>364</v>
      </c>
      <c r="G71" s="57">
        <v>9</v>
      </c>
      <c r="H71" s="57">
        <v>8.5</v>
      </c>
      <c r="I71" s="64" t="s">
        <v>0</v>
      </c>
      <c r="J71" s="57">
        <v>8</v>
      </c>
      <c r="K71" s="10"/>
      <c r="L71" s="68">
        <v>6.2</v>
      </c>
      <c r="M71" s="69" t="str">
        <f>IFERROR(LOOKUP(INT(L71),Sheet1!$A$2:$A$12,Sheet1!$B$2:$B$12)&amp;" phẩy "&amp;(LOOKUP(ROUND(L71-INT(L71),1)*10,Sheet1!$A$2:$A$12,Sheet1!$C$2:$C$12)),"")</f>
        <v>Sáu phẩy hai</v>
      </c>
      <c r="N71" s="41"/>
      <c r="O71" s="20" t="s">
        <v>0</v>
      </c>
      <c r="P71" s="7">
        <f t="shared" si="0"/>
        <v>3.4</v>
      </c>
      <c r="Q71" s="8" t="str">
        <f t="shared" si="1"/>
        <v/>
      </c>
      <c r="R71" s="39" t="str">
        <f t="shared" si="2"/>
        <v>09</v>
      </c>
      <c r="S71" s="8" t="str">
        <f t="shared" si="3"/>
        <v/>
      </c>
      <c r="T71" s="9" t="s">
        <v>2</v>
      </c>
      <c r="U71" s="27" t="s">
        <v>4</v>
      </c>
      <c r="V71" s="31" t="s">
        <v>575</v>
      </c>
      <c r="W71" s="9" t="s">
        <v>41</v>
      </c>
      <c r="X71" s="9" t="s">
        <v>345</v>
      </c>
      <c r="Y71" s="9" t="s">
        <v>35</v>
      </c>
    </row>
    <row r="72" spans="1:25" ht="20.25" hidden="1" customHeight="1" x14ac:dyDescent="0.3">
      <c r="A72" s="1">
        <v>646</v>
      </c>
      <c r="B72" s="6">
        <f>IF(LEN(C72=0),SUBTOTAL(3,$C$10:C72),"")</f>
        <v>0</v>
      </c>
      <c r="C72" s="54" t="s">
        <v>253</v>
      </c>
      <c r="D72" s="55" t="s">
        <v>565</v>
      </c>
      <c r="E72" s="56" t="s">
        <v>464</v>
      </c>
      <c r="F72" s="54" t="s">
        <v>413</v>
      </c>
      <c r="G72" s="57">
        <v>10</v>
      </c>
      <c r="H72" s="57">
        <v>8</v>
      </c>
      <c r="I72" s="64" t="s">
        <v>0</v>
      </c>
      <c r="J72" s="57">
        <v>7.5</v>
      </c>
      <c r="K72" s="10"/>
      <c r="L72" s="68">
        <v>7.8</v>
      </c>
      <c r="M72" s="69" t="str">
        <f>IFERROR(LOOKUP(INT(L72),Sheet1!$A$2:$A$12,Sheet1!$B$2:$B$12)&amp;" phẩy "&amp;(LOOKUP(ROUND(L72-INT(L72),1)*10,Sheet1!$A$2:$A$12,Sheet1!$C$2:$C$12)),"")</f>
        <v>Bảy phẩy tám</v>
      </c>
      <c r="N72" s="41"/>
      <c r="O72" s="20" t="s">
        <v>0</v>
      </c>
      <c r="P72" s="7">
        <f t="shared" si="0"/>
        <v>3.3</v>
      </c>
      <c r="Q72" s="8" t="str">
        <f t="shared" si="1"/>
        <v/>
      </c>
      <c r="R72" s="39" t="str">
        <f t="shared" si="2"/>
        <v>09</v>
      </c>
      <c r="S72" s="8" t="str">
        <f t="shared" si="3"/>
        <v/>
      </c>
      <c r="T72" s="9" t="s">
        <v>2</v>
      </c>
      <c r="U72" s="27" t="s">
        <v>4</v>
      </c>
      <c r="V72" s="31" t="s">
        <v>575</v>
      </c>
      <c r="W72" s="9" t="s">
        <v>41</v>
      </c>
      <c r="X72" s="9" t="s">
        <v>345</v>
      </c>
      <c r="Y72" s="9" t="s">
        <v>35</v>
      </c>
    </row>
    <row r="73" spans="1:25" ht="20.25" hidden="1" customHeight="1" x14ac:dyDescent="0.3">
      <c r="A73" s="1">
        <v>647</v>
      </c>
      <c r="B73" s="6">
        <f>IF(LEN(C73=0),SUBTOTAL(3,$C$10:C73),"")</f>
        <v>0</v>
      </c>
      <c r="C73" s="54" t="s">
        <v>98</v>
      </c>
      <c r="D73" s="55" t="s">
        <v>566</v>
      </c>
      <c r="E73" s="56" t="s">
        <v>464</v>
      </c>
      <c r="F73" s="54" t="s">
        <v>359</v>
      </c>
      <c r="G73" s="57">
        <v>8</v>
      </c>
      <c r="H73" s="57">
        <v>8</v>
      </c>
      <c r="I73" s="64" t="s">
        <v>0</v>
      </c>
      <c r="J73" s="57">
        <v>8.5</v>
      </c>
      <c r="K73" s="10"/>
      <c r="L73" s="68">
        <v>5.3</v>
      </c>
      <c r="M73" s="69" t="str">
        <f>IFERROR(LOOKUP(INT(L73),Sheet1!$A$2:$A$12,Sheet1!$B$2:$B$12)&amp;" phẩy "&amp;(LOOKUP(ROUND(L73-INT(L73),1)*10,Sheet1!$A$2:$A$12,Sheet1!$C$2:$C$12)),"")</f>
        <v>Năm phẩy ba</v>
      </c>
      <c r="N73" s="41"/>
      <c r="O73" s="20" t="s">
        <v>0</v>
      </c>
      <c r="P73" s="7">
        <f t="shared" si="0"/>
        <v>3.3</v>
      </c>
      <c r="Q73" s="8" t="str">
        <f t="shared" si="1"/>
        <v/>
      </c>
      <c r="R73" s="39" t="str">
        <f t="shared" si="2"/>
        <v>09</v>
      </c>
      <c r="S73" s="8" t="str">
        <f t="shared" si="3"/>
        <v/>
      </c>
      <c r="T73" s="9" t="s">
        <v>2</v>
      </c>
      <c r="U73" s="27" t="s">
        <v>4</v>
      </c>
      <c r="V73" s="31" t="s">
        <v>575</v>
      </c>
      <c r="W73" s="9" t="s">
        <v>41</v>
      </c>
      <c r="X73" s="9" t="s">
        <v>345</v>
      </c>
      <c r="Y73" s="9" t="s">
        <v>35</v>
      </c>
    </row>
    <row r="74" spans="1:25" ht="20.25" hidden="1" customHeight="1" x14ac:dyDescent="0.3">
      <c r="A74" s="1">
        <v>648</v>
      </c>
      <c r="B74" s="6">
        <f>IF(LEN(C74=0),SUBTOTAL(3,$C$10:C74),"")</f>
        <v>0</v>
      </c>
      <c r="C74" s="54" t="s">
        <v>221</v>
      </c>
      <c r="D74" s="55" t="s">
        <v>567</v>
      </c>
      <c r="E74" s="56" t="s">
        <v>568</v>
      </c>
      <c r="F74" s="54" t="s">
        <v>388</v>
      </c>
      <c r="G74" s="57">
        <v>8</v>
      </c>
      <c r="H74" s="57">
        <v>3</v>
      </c>
      <c r="I74" s="64" t="s">
        <v>0</v>
      </c>
      <c r="J74" s="57">
        <v>4</v>
      </c>
      <c r="K74" s="10"/>
      <c r="L74" s="68">
        <v>5.3</v>
      </c>
      <c r="M74" s="69" t="str">
        <f>IFERROR(LOOKUP(INT(L74),Sheet1!$A$2:$A$12,Sheet1!$B$2:$B$12)&amp;" phẩy "&amp;(LOOKUP(ROUND(L74-INT(L74),1)*10,Sheet1!$A$2:$A$12,Sheet1!$C$2:$C$12)),"")</f>
        <v>Năm phẩy ba</v>
      </c>
      <c r="N74" s="41"/>
      <c r="O74" s="20" t="s">
        <v>0</v>
      </c>
      <c r="P74" s="7">
        <f t="shared" si="0"/>
        <v>1.9</v>
      </c>
      <c r="Q74" s="8" t="str">
        <f t="shared" si="1"/>
        <v/>
      </c>
      <c r="R74" s="39" t="str">
        <f t="shared" ref="R74:R137" si="4">LEFT(V74,2)</f>
        <v>09</v>
      </c>
      <c r="S74" s="8" t="str">
        <f t="shared" si="3"/>
        <v/>
      </c>
      <c r="T74" s="9" t="s">
        <v>2</v>
      </c>
      <c r="U74" s="27" t="s">
        <v>4</v>
      </c>
      <c r="V74" s="31" t="s">
        <v>575</v>
      </c>
      <c r="W74" s="9" t="s">
        <v>41</v>
      </c>
      <c r="X74" s="9" t="s">
        <v>345</v>
      </c>
      <c r="Y74" s="9" t="s">
        <v>35</v>
      </c>
    </row>
    <row r="75" spans="1:25" ht="20.25" hidden="1" customHeight="1" x14ac:dyDescent="0.3">
      <c r="A75" s="1">
        <v>649</v>
      </c>
      <c r="B75" s="6">
        <f>IF(LEN(C75=0),SUBTOTAL(3,$C$10:C75),"")</f>
        <v>0</v>
      </c>
      <c r="C75" s="54" t="s">
        <v>99</v>
      </c>
      <c r="D75" s="55" t="s">
        <v>569</v>
      </c>
      <c r="E75" s="56" t="s">
        <v>516</v>
      </c>
      <c r="F75" s="54" t="s">
        <v>362</v>
      </c>
      <c r="G75" s="57">
        <v>10</v>
      </c>
      <c r="H75" s="57">
        <v>8</v>
      </c>
      <c r="I75" s="64" t="s">
        <v>0</v>
      </c>
      <c r="J75" s="57">
        <v>8.5</v>
      </c>
      <c r="K75" s="10"/>
      <c r="L75" s="68">
        <v>5.8</v>
      </c>
      <c r="M75" s="69" t="str">
        <f>IFERROR(LOOKUP(INT(L75),Sheet1!$A$2:$A$12,Sheet1!$B$2:$B$12)&amp;" phẩy "&amp;(LOOKUP(ROUND(L75-INT(L75),1)*10,Sheet1!$A$2:$A$12,Sheet1!$C$2:$C$12)),"")</f>
        <v>Năm phẩy tám</v>
      </c>
      <c r="N75" s="41"/>
      <c r="O75" s="20" t="s">
        <v>0</v>
      </c>
      <c r="P75" s="7">
        <f t="shared" si="0"/>
        <v>3.5</v>
      </c>
      <c r="Q75" s="8" t="str">
        <f t="shared" si="1"/>
        <v/>
      </c>
      <c r="R75" s="39" t="str">
        <f t="shared" si="4"/>
        <v>09</v>
      </c>
      <c r="S75" s="8" t="str">
        <f t="shared" si="3"/>
        <v/>
      </c>
      <c r="T75" s="9" t="s">
        <v>2</v>
      </c>
      <c r="U75" s="27" t="s">
        <v>4</v>
      </c>
      <c r="V75" s="31" t="s">
        <v>575</v>
      </c>
      <c r="W75" s="9" t="s">
        <v>41</v>
      </c>
      <c r="X75" s="9" t="s">
        <v>345</v>
      </c>
      <c r="Y75" s="9" t="s">
        <v>35</v>
      </c>
    </row>
    <row r="76" spans="1:25" ht="20.25" hidden="1" customHeight="1" x14ac:dyDescent="0.3">
      <c r="A76" s="1">
        <v>650</v>
      </c>
      <c r="B76" s="6">
        <f>IF(LEN(C76=0),SUBTOTAL(3,$C$10:C76),"")</f>
        <v>0</v>
      </c>
      <c r="C76" s="54" t="s">
        <v>132</v>
      </c>
      <c r="D76" s="55" t="s">
        <v>570</v>
      </c>
      <c r="E76" s="56" t="s">
        <v>505</v>
      </c>
      <c r="F76" s="54" t="s">
        <v>362</v>
      </c>
      <c r="G76" s="57">
        <v>7</v>
      </c>
      <c r="H76" s="57">
        <v>3</v>
      </c>
      <c r="I76" s="64" t="s">
        <v>0</v>
      </c>
      <c r="J76" s="57">
        <v>4</v>
      </c>
      <c r="K76" s="10"/>
      <c r="L76" s="68">
        <v>5.5</v>
      </c>
      <c r="M76" s="69" t="str">
        <f>IFERROR(LOOKUP(INT(L76),Sheet1!$A$2:$A$12,Sheet1!$B$2:$B$12)&amp;" phẩy "&amp;(LOOKUP(ROUND(L76-INT(L76),1)*10,Sheet1!$A$2:$A$12,Sheet1!$C$2:$C$12)),"")</f>
        <v>Năm phẩy năm</v>
      </c>
      <c r="N76" s="41"/>
      <c r="O76" s="20" t="s">
        <v>0</v>
      </c>
      <c r="P76" s="7">
        <f t="shared" si="0"/>
        <v>1.8</v>
      </c>
      <c r="Q76" s="8" t="str">
        <f t="shared" si="1"/>
        <v/>
      </c>
      <c r="R76" s="39" t="str">
        <f t="shared" si="4"/>
        <v>09</v>
      </c>
      <c r="S76" s="8" t="str">
        <f t="shared" si="3"/>
        <v/>
      </c>
      <c r="T76" s="9" t="s">
        <v>2</v>
      </c>
      <c r="U76" s="27" t="s">
        <v>4</v>
      </c>
      <c r="V76" s="31" t="s">
        <v>575</v>
      </c>
      <c r="W76" s="9" t="s">
        <v>41</v>
      </c>
      <c r="X76" s="9" t="s">
        <v>345</v>
      </c>
      <c r="Y76" s="9" t="s">
        <v>35</v>
      </c>
    </row>
    <row r="77" spans="1:25" ht="20.25" hidden="1" customHeight="1" x14ac:dyDescent="0.3">
      <c r="A77" s="1">
        <v>651</v>
      </c>
      <c r="B77" s="6">
        <f>IF(LEN(C77=0),SUBTOTAL(3,$C$10:C77),"")</f>
        <v>0</v>
      </c>
      <c r="C77" s="54" t="s">
        <v>184</v>
      </c>
      <c r="D77" s="55" t="s">
        <v>513</v>
      </c>
      <c r="E77" s="56" t="s">
        <v>472</v>
      </c>
      <c r="F77" s="54" t="s">
        <v>366</v>
      </c>
      <c r="G77" s="57">
        <v>10</v>
      </c>
      <c r="H77" s="57">
        <v>8</v>
      </c>
      <c r="I77" s="64" t="s">
        <v>0</v>
      </c>
      <c r="J77" s="57">
        <v>7</v>
      </c>
      <c r="K77" s="10"/>
      <c r="L77" s="68">
        <v>7.5</v>
      </c>
      <c r="M77" s="69" t="str">
        <f>IFERROR(LOOKUP(INT(L77),Sheet1!$A$2:$A$12,Sheet1!$B$2:$B$12)&amp;" phẩy "&amp;(LOOKUP(ROUND(L77-INT(L77),1)*10,Sheet1!$A$2:$A$12,Sheet1!$C$2:$C$12)),"")</f>
        <v>Bảy phẩy năm</v>
      </c>
      <c r="N77" s="41"/>
      <c r="O77" s="20" t="s">
        <v>0</v>
      </c>
      <c r="P77" s="7">
        <f t="shared" si="0"/>
        <v>3.2</v>
      </c>
      <c r="Q77" s="8" t="str">
        <f t="shared" si="1"/>
        <v/>
      </c>
      <c r="R77" s="39" t="str">
        <f t="shared" si="4"/>
        <v>09</v>
      </c>
      <c r="S77" s="8" t="str">
        <f t="shared" si="3"/>
        <v/>
      </c>
      <c r="T77" s="9" t="s">
        <v>2</v>
      </c>
      <c r="U77" s="27" t="s">
        <v>4</v>
      </c>
      <c r="V77" s="31" t="s">
        <v>575</v>
      </c>
      <c r="W77" s="9" t="s">
        <v>41</v>
      </c>
      <c r="X77" s="9" t="s">
        <v>345</v>
      </c>
      <c r="Y77" s="9" t="s">
        <v>35</v>
      </c>
    </row>
    <row r="78" spans="1:25" ht="20.25" hidden="1" customHeight="1" x14ac:dyDescent="0.3">
      <c r="A78" s="1">
        <v>652</v>
      </c>
      <c r="B78" s="6">
        <f>IF(LEN(C78=0),SUBTOTAL(3,$C$10:C78),"")</f>
        <v>0</v>
      </c>
      <c r="C78" s="54" t="s">
        <v>232</v>
      </c>
      <c r="D78" s="55" t="s">
        <v>495</v>
      </c>
      <c r="E78" s="56" t="s">
        <v>498</v>
      </c>
      <c r="F78" s="54" t="s">
        <v>354</v>
      </c>
      <c r="G78" s="57">
        <v>9</v>
      </c>
      <c r="H78" s="57">
        <v>8.5</v>
      </c>
      <c r="I78" s="64" t="s">
        <v>0</v>
      </c>
      <c r="J78" s="57">
        <v>8</v>
      </c>
      <c r="K78" s="10"/>
      <c r="L78" s="68">
        <v>7.5</v>
      </c>
      <c r="M78" s="69" t="str">
        <f>IFERROR(LOOKUP(INT(L78),Sheet1!$A$2:$A$12,Sheet1!$B$2:$B$12)&amp;" phẩy "&amp;(LOOKUP(ROUND(L78-INT(L78),1)*10,Sheet1!$A$2:$A$12,Sheet1!$C$2:$C$12)),"")</f>
        <v>Bảy phẩy năm</v>
      </c>
      <c r="N78" s="41"/>
      <c r="O78" s="20" t="s">
        <v>0</v>
      </c>
      <c r="P78" s="7">
        <f t="shared" si="0"/>
        <v>3.4</v>
      </c>
      <c r="Q78" s="8" t="str">
        <f t="shared" si="1"/>
        <v/>
      </c>
      <c r="R78" s="39" t="str">
        <f t="shared" si="4"/>
        <v>09</v>
      </c>
      <c r="S78" s="8" t="str">
        <f t="shared" si="3"/>
        <v/>
      </c>
      <c r="T78" s="9" t="s">
        <v>2</v>
      </c>
      <c r="U78" s="27" t="s">
        <v>4</v>
      </c>
      <c r="V78" s="31" t="s">
        <v>575</v>
      </c>
      <c r="W78" s="9" t="s">
        <v>41</v>
      </c>
      <c r="X78" s="9" t="s">
        <v>345</v>
      </c>
      <c r="Y78" s="9" t="s">
        <v>35</v>
      </c>
    </row>
    <row r="79" spans="1:25" ht="20.25" hidden="1" customHeight="1" x14ac:dyDescent="0.3">
      <c r="A79" s="1">
        <v>653</v>
      </c>
      <c r="B79" s="6">
        <f>IF(LEN(C79=0),SUBTOTAL(3,$C$10:C79),"")</f>
        <v>0</v>
      </c>
      <c r="C79" s="54" t="s">
        <v>266</v>
      </c>
      <c r="D79" s="55" t="s">
        <v>571</v>
      </c>
      <c r="E79" s="56" t="s">
        <v>572</v>
      </c>
      <c r="F79" s="54" t="s">
        <v>364</v>
      </c>
      <c r="G79" s="57">
        <v>8</v>
      </c>
      <c r="H79" s="57">
        <v>8.5</v>
      </c>
      <c r="I79" s="64" t="s">
        <v>0</v>
      </c>
      <c r="J79" s="57">
        <v>8</v>
      </c>
      <c r="K79" s="10"/>
      <c r="L79" s="68">
        <v>6.8</v>
      </c>
      <c r="M79" s="69" t="str">
        <f>IFERROR(LOOKUP(INT(L79),Sheet1!$A$2:$A$12,Sheet1!$B$2:$B$12)&amp;" phẩy "&amp;(LOOKUP(ROUND(L79-INT(L79),1)*10,Sheet1!$A$2:$A$12,Sheet1!$C$2:$C$12)),"")</f>
        <v>Sáu phẩy tám</v>
      </c>
      <c r="N79" s="41"/>
      <c r="O79" s="20" t="s">
        <v>0</v>
      </c>
      <c r="P79" s="7">
        <f t="shared" si="0"/>
        <v>3.3</v>
      </c>
      <c r="Q79" s="8" t="str">
        <f t="shared" si="1"/>
        <v/>
      </c>
      <c r="R79" s="39" t="str">
        <f t="shared" si="4"/>
        <v>09</v>
      </c>
      <c r="S79" s="8" t="str">
        <f t="shared" si="3"/>
        <v/>
      </c>
      <c r="T79" s="9" t="s">
        <v>2</v>
      </c>
      <c r="U79" s="27" t="s">
        <v>4</v>
      </c>
      <c r="V79" s="31" t="s">
        <v>575</v>
      </c>
      <c r="W79" s="9" t="s">
        <v>41</v>
      </c>
      <c r="X79" s="9" t="s">
        <v>345</v>
      </c>
      <c r="Y79" s="9" t="s">
        <v>35</v>
      </c>
    </row>
    <row r="80" spans="1:25" ht="20.25" hidden="1" customHeight="1" x14ac:dyDescent="0.3">
      <c r="A80" s="1">
        <v>654</v>
      </c>
      <c r="B80" s="6">
        <f>IF(LEN(C80=0),SUBTOTAL(3,$C$10:C80),"")</f>
        <v>0</v>
      </c>
      <c r="C80" s="54" t="s">
        <v>148</v>
      </c>
      <c r="D80" s="55" t="s">
        <v>573</v>
      </c>
      <c r="E80" s="56" t="s">
        <v>477</v>
      </c>
      <c r="F80" s="54" t="s">
        <v>364</v>
      </c>
      <c r="G80" s="57">
        <v>10</v>
      </c>
      <c r="H80" s="57">
        <v>8.5</v>
      </c>
      <c r="I80" s="64" t="s">
        <v>0</v>
      </c>
      <c r="J80" s="57">
        <v>8</v>
      </c>
      <c r="K80" s="10"/>
      <c r="L80" s="68">
        <v>6.8</v>
      </c>
      <c r="M80" s="69" t="str">
        <f>IFERROR(LOOKUP(INT(L80),Sheet1!$A$2:$A$12,Sheet1!$B$2:$B$12)&amp;" phẩy "&amp;(LOOKUP(ROUND(L80-INT(L80),1)*10,Sheet1!$A$2:$A$12,Sheet1!$C$2:$C$12)),"")</f>
        <v>Sáu phẩy tám</v>
      </c>
      <c r="N80" s="41"/>
      <c r="O80" s="20" t="s">
        <v>0</v>
      </c>
      <c r="P80" s="7">
        <f t="shared" si="0"/>
        <v>3.5</v>
      </c>
      <c r="Q80" s="8" t="str">
        <f t="shared" si="1"/>
        <v/>
      </c>
      <c r="R80" s="39" t="str">
        <f t="shared" si="4"/>
        <v>09</v>
      </c>
      <c r="S80" s="8" t="str">
        <f t="shared" si="3"/>
        <v/>
      </c>
      <c r="T80" s="9" t="s">
        <v>2</v>
      </c>
      <c r="U80" s="27" t="s">
        <v>4</v>
      </c>
      <c r="V80" s="31" t="s">
        <v>575</v>
      </c>
      <c r="W80" s="9" t="s">
        <v>41</v>
      </c>
      <c r="X80" s="9" t="s">
        <v>345</v>
      </c>
      <c r="Y80" s="9" t="s">
        <v>35</v>
      </c>
    </row>
    <row r="81" spans="1:39" ht="20.25" hidden="1" customHeight="1" x14ac:dyDescent="0.3">
      <c r="A81" s="1">
        <v>655</v>
      </c>
      <c r="B81" s="6">
        <f>IF(LEN(C81=0),SUBTOTAL(3,$C$10:C81),"")</f>
        <v>0</v>
      </c>
      <c r="C81" s="54" t="s">
        <v>133</v>
      </c>
      <c r="D81" s="55" t="s">
        <v>574</v>
      </c>
      <c r="E81" s="56" t="s">
        <v>490</v>
      </c>
      <c r="F81" s="54" t="s">
        <v>366</v>
      </c>
      <c r="G81" s="57">
        <v>9</v>
      </c>
      <c r="H81" s="57">
        <v>8.5</v>
      </c>
      <c r="I81" s="64" t="s">
        <v>0</v>
      </c>
      <c r="J81" s="57">
        <v>9</v>
      </c>
      <c r="K81" s="10"/>
      <c r="L81" s="68">
        <v>7.7</v>
      </c>
      <c r="M81" s="69" t="str">
        <f>IFERROR(LOOKUP(INT(L81),Sheet1!$A$2:$A$12,Sheet1!$B$2:$B$12)&amp;" phẩy "&amp;(LOOKUP(ROUND(L81-INT(L81),1)*10,Sheet1!$A$2:$A$12,Sheet1!$C$2:$C$12)),"")</f>
        <v>Bảy phẩy bảy</v>
      </c>
      <c r="N81" s="41"/>
      <c r="O81" s="20" t="s">
        <v>0</v>
      </c>
      <c r="P81" s="7">
        <f t="shared" si="0"/>
        <v>3.6</v>
      </c>
      <c r="Q81" s="8" t="str">
        <f t="shared" si="1"/>
        <v/>
      </c>
      <c r="R81" s="39" t="str">
        <f t="shared" si="4"/>
        <v>09</v>
      </c>
      <c r="S81" s="8" t="str">
        <f t="shared" si="3"/>
        <v/>
      </c>
      <c r="T81" s="9" t="s">
        <v>2</v>
      </c>
      <c r="U81" s="27" t="s">
        <v>4</v>
      </c>
      <c r="V81" s="31" t="s">
        <v>575</v>
      </c>
      <c r="W81" s="9" t="s">
        <v>41</v>
      </c>
      <c r="X81" s="9" t="s">
        <v>345</v>
      </c>
      <c r="Y81" s="9" t="s">
        <v>35</v>
      </c>
    </row>
    <row r="82" spans="1:39" ht="20.25" hidden="1" customHeight="1" x14ac:dyDescent="0.3">
      <c r="A82" s="1">
        <v>656</v>
      </c>
      <c r="B82" s="6">
        <f>IF(LEN(C82=0),SUBTOTAL(3,$C$10:C82),"")</f>
        <v>0</v>
      </c>
      <c r="C82" s="54" t="s">
        <v>259</v>
      </c>
      <c r="D82" s="55" t="s">
        <v>444</v>
      </c>
      <c r="E82" s="56" t="s">
        <v>491</v>
      </c>
      <c r="F82" s="54" t="s">
        <v>385</v>
      </c>
      <c r="G82" s="57">
        <v>9</v>
      </c>
      <c r="H82" s="57">
        <v>8.5</v>
      </c>
      <c r="I82" s="64" t="s">
        <v>0</v>
      </c>
      <c r="J82" s="57">
        <v>8</v>
      </c>
      <c r="K82" s="10"/>
      <c r="L82" s="68">
        <v>7.7</v>
      </c>
      <c r="M82" s="69" t="str">
        <f>IFERROR(LOOKUP(INT(L82),Sheet1!$A$2:$A$12,Sheet1!$B$2:$B$12)&amp;" phẩy "&amp;(LOOKUP(ROUND(L82-INT(L82),1)*10,Sheet1!$A$2:$A$12,Sheet1!$C$2:$C$12)),"")</f>
        <v>Bảy phẩy bảy</v>
      </c>
      <c r="N82" s="41"/>
      <c r="O82" s="20" t="s">
        <v>0</v>
      </c>
      <c r="P82" s="7">
        <f t="shared" si="0"/>
        <v>3.4</v>
      </c>
      <c r="Q82" s="8" t="str">
        <f t="shared" si="1"/>
        <v/>
      </c>
      <c r="R82" s="39" t="str">
        <f t="shared" si="4"/>
        <v>09</v>
      </c>
      <c r="S82" s="8" t="str">
        <f t="shared" si="3"/>
        <v/>
      </c>
      <c r="T82" s="9" t="s">
        <v>2</v>
      </c>
      <c r="U82" s="27" t="s">
        <v>4</v>
      </c>
      <c r="V82" s="31" t="s">
        <v>575</v>
      </c>
      <c r="W82" s="9" t="s">
        <v>41</v>
      </c>
      <c r="X82" s="9" t="s">
        <v>345</v>
      </c>
      <c r="Y82" s="9" t="s">
        <v>35</v>
      </c>
    </row>
    <row r="83" spans="1:39" ht="20.25" customHeight="1" x14ac:dyDescent="0.3">
      <c r="A83" s="1">
        <v>657</v>
      </c>
      <c r="B83" s="6">
        <f>IF(LEN(C83=0),SUBTOTAL(3,$C$10:C83),"")</f>
        <v>1</v>
      </c>
      <c r="C83" s="54" t="s">
        <v>118</v>
      </c>
      <c r="D83" s="55" t="s">
        <v>352</v>
      </c>
      <c r="E83" s="56" t="s">
        <v>353</v>
      </c>
      <c r="F83" s="54" t="s">
        <v>354</v>
      </c>
      <c r="G83" s="57">
        <v>10</v>
      </c>
      <c r="H83" s="57">
        <v>8.5</v>
      </c>
      <c r="I83" s="64" t="s">
        <v>0</v>
      </c>
      <c r="J83" s="57">
        <v>8.5</v>
      </c>
      <c r="K83" s="10"/>
      <c r="L83" s="68">
        <v>8.1999999999999993</v>
      </c>
      <c r="M83" s="69" t="str">
        <f>IFERROR(LOOKUP(INT(L83),Sheet1!$A$2:$A$12,Sheet1!$B$2:$B$12)&amp;" phẩy "&amp;(LOOKUP(ROUND(L83-INT(L83),1)*10,Sheet1!$A$2:$A$12,Sheet1!$C$2:$C$12)),"")</f>
        <v>Tám phẩy hai</v>
      </c>
      <c r="N83" s="41"/>
      <c r="O83" s="20" t="s">
        <v>0</v>
      </c>
      <c r="P83" s="7">
        <f t="shared" si="0"/>
        <v>3.6</v>
      </c>
      <c r="Q83" s="8" t="str">
        <f t="shared" si="1"/>
        <v/>
      </c>
      <c r="R83" s="39" t="str">
        <f t="shared" si="4"/>
        <v>10</v>
      </c>
      <c r="S83" s="8" t="str">
        <f t="shared" si="3"/>
        <v/>
      </c>
      <c r="T83" s="9" t="s">
        <v>36</v>
      </c>
      <c r="U83" s="137" t="s">
        <v>4</v>
      </c>
      <c r="V83" s="138" t="s">
        <v>576</v>
      </c>
      <c r="W83" s="9" t="s">
        <v>40</v>
      </c>
      <c r="X83" s="9" t="s">
        <v>345</v>
      </c>
      <c r="Y83" s="9" t="s">
        <v>35</v>
      </c>
      <c r="Z83" s="147">
        <f>G83*0.1 + H83*0.1 + J83*0.2 + L83*0.6</f>
        <v>8.4699999999999989</v>
      </c>
      <c r="AA83" s="148" t="s">
        <v>651</v>
      </c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ht="20.25" customHeight="1" x14ac:dyDescent="0.3">
      <c r="A84" s="1">
        <v>658</v>
      </c>
      <c r="B84" s="6">
        <f>IF(LEN(C84=0),SUBTOTAL(3,$C$10:C84),"")</f>
        <v>2</v>
      </c>
      <c r="C84" s="54" t="s">
        <v>150</v>
      </c>
      <c r="D84" s="55" t="s">
        <v>355</v>
      </c>
      <c r="E84" s="56" t="s">
        <v>353</v>
      </c>
      <c r="F84" s="54" t="s">
        <v>356</v>
      </c>
      <c r="G84" s="57">
        <v>10</v>
      </c>
      <c r="H84" s="57">
        <v>8.5</v>
      </c>
      <c r="I84" s="64" t="s">
        <v>0</v>
      </c>
      <c r="J84" s="57">
        <v>8.5</v>
      </c>
      <c r="K84" s="10"/>
      <c r="L84" s="68">
        <v>5</v>
      </c>
      <c r="M84" s="69" t="str">
        <f>IFERROR(LOOKUP(INT(L84),Sheet1!$A$2:$A$12,Sheet1!$B$2:$B$12)&amp;" phẩy "&amp;(LOOKUP(ROUND(L84-INT(L84),1)*10,Sheet1!$A$2:$A$12,Sheet1!$C$2:$C$12)),"")</f>
        <v>Năm phẩy không</v>
      </c>
      <c r="N84" s="41"/>
      <c r="O84" s="20" t="s">
        <v>0</v>
      </c>
      <c r="P84" s="7">
        <f t="shared" si="0"/>
        <v>3.6</v>
      </c>
      <c r="Q84" s="8" t="str">
        <f t="shared" si="1"/>
        <v/>
      </c>
      <c r="R84" s="39" t="str">
        <f t="shared" si="4"/>
        <v>10</v>
      </c>
      <c r="S84" s="8" t="str">
        <f t="shared" si="3"/>
        <v/>
      </c>
      <c r="T84" s="9" t="s">
        <v>36</v>
      </c>
      <c r="U84" s="137" t="s">
        <v>4</v>
      </c>
      <c r="V84" s="138" t="s">
        <v>576</v>
      </c>
      <c r="W84" s="9" t="s">
        <v>40</v>
      </c>
      <c r="X84" s="9" t="s">
        <v>345</v>
      </c>
      <c r="Y84" s="9" t="s">
        <v>35</v>
      </c>
      <c r="Z84" s="147">
        <f t="shared" ref="Z84:Z147" si="5">G84*0.1 + H84*0.1 + J84*0.2 + L84*0.6</f>
        <v>6.5500000000000007</v>
      </c>
      <c r="AA84" s="148" t="str" cm="1">
        <f t="array" ref="AA84">_xlfn.IFS(
    Z84&gt;=9, "A+",
    Z84&gt;=8.5, "A",
    Z84&gt;=8, "B+",
    Z84&gt;=7, "B",
    Z84&gt;=6.5, "C+",
    Z84&gt;=5.5, "C",
    Z84&gt;=5, "D+",
    Z84&gt;=4, "D",
    Z84&lt;4, "F"
)</f>
        <v>C+</v>
      </c>
      <c r="AB84" s="1"/>
      <c r="AC84" s="1" t="s">
        <v>665</v>
      </c>
      <c r="AD84" s="155" t="s">
        <v>659</v>
      </c>
      <c r="AE84" s="155" t="s">
        <v>660</v>
      </c>
      <c r="AF84" s="155" t="s">
        <v>661</v>
      </c>
      <c r="AG84" s="1"/>
      <c r="AH84" s="1"/>
      <c r="AI84" s="1"/>
      <c r="AJ84" s="1"/>
      <c r="AK84" s="1"/>
      <c r="AL84" s="1"/>
      <c r="AM84" s="1"/>
    </row>
    <row r="85" spans="1:39" ht="20.25" customHeight="1" x14ac:dyDescent="0.3">
      <c r="A85" s="1">
        <v>659</v>
      </c>
      <c r="B85" s="6">
        <f>IF(LEN(C85=0),SUBTOTAL(3,$C$10:C85),"")</f>
        <v>3</v>
      </c>
      <c r="C85" s="54" t="s">
        <v>233</v>
      </c>
      <c r="D85" s="55" t="s">
        <v>357</v>
      </c>
      <c r="E85" s="56" t="s">
        <v>358</v>
      </c>
      <c r="F85" s="54" t="s">
        <v>359</v>
      </c>
      <c r="G85" s="57">
        <v>9</v>
      </c>
      <c r="H85" s="57">
        <v>8</v>
      </c>
      <c r="I85" s="64" t="s">
        <v>0</v>
      </c>
      <c r="J85" s="57">
        <v>7.5</v>
      </c>
      <c r="K85" s="10"/>
      <c r="L85" s="68">
        <v>5.8</v>
      </c>
      <c r="M85" s="69" t="str">
        <f>IFERROR(LOOKUP(INT(L85),Sheet1!$A$2:$A$12,Sheet1!$B$2:$B$12)&amp;" phẩy "&amp;(LOOKUP(ROUND(L85-INT(L85),1)*10,Sheet1!$A$2:$A$12,Sheet1!$C$2:$C$12)),"")</f>
        <v>Năm phẩy tám</v>
      </c>
      <c r="N85" s="41"/>
      <c r="O85" s="20" t="s">
        <v>0</v>
      </c>
      <c r="P85" s="7">
        <f t="shared" si="0"/>
        <v>3.2</v>
      </c>
      <c r="Q85" s="8" t="str">
        <f t="shared" si="1"/>
        <v/>
      </c>
      <c r="R85" s="39" t="str">
        <f t="shared" si="4"/>
        <v>10</v>
      </c>
      <c r="S85" s="8" t="str">
        <f t="shared" si="3"/>
        <v/>
      </c>
      <c r="T85" s="9" t="s">
        <v>36</v>
      </c>
      <c r="U85" s="137" t="s">
        <v>4</v>
      </c>
      <c r="V85" s="138" t="s">
        <v>576</v>
      </c>
      <c r="W85" s="9" t="s">
        <v>40</v>
      </c>
      <c r="X85" s="9" t="s">
        <v>345</v>
      </c>
      <c r="Y85" s="9" t="s">
        <v>35</v>
      </c>
      <c r="Z85" s="147">
        <f t="shared" si="5"/>
        <v>6.68</v>
      </c>
      <c r="AA85" s="148" t="str" cm="1">
        <f t="array" ref="AA85">_xlfn.IFS(
    Z85&gt;=9, "A+",
    Z85&gt;=8.5, "A",
    Z85&gt;=8, "B+",
    Z85&gt;=7, "B",
    Z85&gt;=6.5, "C+",
    Z85&gt;=5.5, "C",
    Z85&gt;=5, "D+",
    Z85&gt;=4, "D",
    Z85&lt;4, "F"
)</f>
        <v>C+</v>
      </c>
      <c r="AB85" s="1"/>
      <c r="AC85" s="1"/>
      <c r="AD85" s="155" t="s">
        <v>650</v>
      </c>
      <c r="AE85" s="155">
        <f>COUNTIF(AA83:AA155, AD85)</f>
        <v>0</v>
      </c>
      <c r="AF85" s="156">
        <f>AE85/73*100</f>
        <v>0</v>
      </c>
      <c r="AG85" s="1"/>
      <c r="AH85" s="1"/>
      <c r="AI85" s="1"/>
      <c r="AJ85" s="1"/>
      <c r="AK85" s="1"/>
      <c r="AL85" s="1"/>
      <c r="AM85" s="1"/>
    </row>
    <row r="86" spans="1:39" ht="20.25" customHeight="1" x14ac:dyDescent="0.3">
      <c r="A86" s="1">
        <v>660</v>
      </c>
      <c r="B86" s="6">
        <f>IF(LEN(C86=0),SUBTOTAL(3,$C$10:C86),"")</f>
        <v>4</v>
      </c>
      <c r="C86" s="54" t="s">
        <v>153</v>
      </c>
      <c r="D86" s="55" t="s">
        <v>360</v>
      </c>
      <c r="E86" s="56" t="s">
        <v>361</v>
      </c>
      <c r="F86" s="54" t="s">
        <v>362</v>
      </c>
      <c r="G86" s="57">
        <v>10</v>
      </c>
      <c r="H86" s="57">
        <v>8.5</v>
      </c>
      <c r="I86" s="64" t="s">
        <v>0</v>
      </c>
      <c r="J86" s="57">
        <v>7.5</v>
      </c>
      <c r="K86" s="10"/>
      <c r="L86" s="68">
        <v>7.2</v>
      </c>
      <c r="M86" s="69" t="str">
        <f>IFERROR(LOOKUP(INT(L86),Sheet1!$A$2:$A$12,Sheet1!$B$2:$B$12)&amp;" phẩy "&amp;(LOOKUP(ROUND(L86-INT(L86),1)*10,Sheet1!$A$2:$A$12,Sheet1!$C$2:$C$12)),"")</f>
        <v>Bảy phẩy hai</v>
      </c>
      <c r="N86" s="41"/>
      <c r="O86" s="20" t="s">
        <v>0</v>
      </c>
      <c r="P86" s="7">
        <f t="shared" si="0"/>
        <v>3.4</v>
      </c>
      <c r="Q86" s="8" t="str">
        <f t="shared" si="1"/>
        <v/>
      </c>
      <c r="R86" s="39" t="str">
        <f t="shared" si="4"/>
        <v>10</v>
      </c>
      <c r="S86" s="8" t="str">
        <f t="shared" si="3"/>
        <v/>
      </c>
      <c r="T86" s="9" t="s">
        <v>36</v>
      </c>
      <c r="U86" s="137" t="s">
        <v>4</v>
      </c>
      <c r="V86" s="138" t="s">
        <v>576</v>
      </c>
      <c r="W86" s="9" t="s">
        <v>40</v>
      </c>
      <c r="X86" s="9" t="s">
        <v>345</v>
      </c>
      <c r="Y86" s="9" t="s">
        <v>35</v>
      </c>
      <c r="Z86" s="147">
        <f t="shared" si="5"/>
        <v>7.67</v>
      </c>
      <c r="AA86" s="148" t="str" cm="1">
        <f t="array" ref="AA86">_xlfn.IFS(
    Z86&gt;=9, "A+",
    Z86&gt;=8.5, "A",
    Z86&gt;=8, "B+",
    Z86&gt;=7, "B",
    Z86&gt;=6.5, "C+",
    Z86&gt;=5.5, "C",
    Z86&gt;=5, "D+",
    Z86&gt;=4, "D",
    Z86&lt;4, "F"
)</f>
        <v>B</v>
      </c>
      <c r="AB86" s="1"/>
      <c r="AC86" s="1"/>
      <c r="AD86" s="155" t="s">
        <v>651</v>
      </c>
      <c r="AE86" s="155">
        <f>COUNTIF(AA83:AA155,AD86)</f>
        <v>10</v>
      </c>
      <c r="AF86" s="156">
        <f t="shared" ref="AF86:AF93" si="6">AE86/73*100</f>
        <v>13.698630136986301</v>
      </c>
      <c r="AG86" s="1"/>
      <c r="AH86" s="1"/>
      <c r="AI86" s="1"/>
      <c r="AJ86" s="1"/>
      <c r="AK86" s="1"/>
      <c r="AL86" s="1"/>
      <c r="AM86" s="1"/>
    </row>
    <row r="87" spans="1:39" ht="20.25" customHeight="1" x14ac:dyDescent="0.3">
      <c r="A87" s="1">
        <v>661</v>
      </c>
      <c r="B87" s="6">
        <f>IF(LEN(C87=0),SUBTOTAL(3,$C$10:C87),"")</f>
        <v>5</v>
      </c>
      <c r="C87" s="54" t="s">
        <v>134</v>
      </c>
      <c r="D87" s="55" t="s">
        <v>363</v>
      </c>
      <c r="E87" s="56" t="s">
        <v>361</v>
      </c>
      <c r="F87" s="54" t="s">
        <v>364</v>
      </c>
      <c r="G87" s="57">
        <v>10</v>
      </c>
      <c r="H87" s="57">
        <v>8</v>
      </c>
      <c r="I87" s="64" t="s">
        <v>0</v>
      </c>
      <c r="J87" s="57">
        <v>8.5</v>
      </c>
      <c r="K87" s="10"/>
      <c r="L87" s="68">
        <v>8.5</v>
      </c>
      <c r="M87" s="69" t="str">
        <f>IFERROR(LOOKUP(INT(L87),Sheet1!$A$2:$A$12,Sheet1!$B$2:$B$12)&amp;" phẩy "&amp;(LOOKUP(ROUND(L87-INT(L87),1)*10,Sheet1!$A$2:$A$12,Sheet1!$C$2:$C$12)),"")</f>
        <v>Tám phẩy năm</v>
      </c>
      <c r="N87" s="41"/>
      <c r="O87" s="20" t="s">
        <v>0</v>
      </c>
      <c r="P87" s="7">
        <f t="shared" si="0"/>
        <v>3.5</v>
      </c>
      <c r="Q87" s="8" t="str">
        <f t="shared" si="1"/>
        <v/>
      </c>
      <c r="R87" s="39" t="str">
        <f t="shared" si="4"/>
        <v>10</v>
      </c>
      <c r="S87" s="8" t="str">
        <f t="shared" si="3"/>
        <v/>
      </c>
      <c r="T87" s="9" t="s">
        <v>36</v>
      </c>
      <c r="U87" s="137" t="s">
        <v>4</v>
      </c>
      <c r="V87" s="138" t="s">
        <v>576</v>
      </c>
      <c r="W87" s="9" t="s">
        <v>40</v>
      </c>
      <c r="X87" s="9" t="s">
        <v>345</v>
      </c>
      <c r="Y87" s="9" t="s">
        <v>35</v>
      </c>
      <c r="Z87" s="147">
        <f t="shared" si="5"/>
        <v>8.6</v>
      </c>
      <c r="AA87" s="148" t="str" cm="1">
        <f t="array" ref="AA87">_xlfn.IFS(
    Z87&gt;=9, "A+",
    Z87&gt;=8.5, "A",
    Z87&gt;=8, "B+",
    Z87&gt;=7, "B",
    Z87&gt;=6.5, "C+",
    Z87&gt;=5.5, "C",
    Z87&gt;=5, "D+",
    Z87&gt;=4, "D",
    Z87&lt;4, "F"
)</f>
        <v>A</v>
      </c>
      <c r="AB87" s="1"/>
      <c r="AC87" s="1"/>
      <c r="AD87" s="155" t="s">
        <v>652</v>
      </c>
      <c r="AE87" s="155">
        <f>COUNTIF(AA83:AA155,AD87)</f>
        <v>19</v>
      </c>
      <c r="AF87" s="156">
        <f t="shared" si="6"/>
        <v>26.027397260273972</v>
      </c>
      <c r="AG87" s="1"/>
      <c r="AH87" s="1"/>
      <c r="AI87" s="1"/>
      <c r="AJ87" s="1"/>
      <c r="AK87" s="1"/>
      <c r="AL87" s="1"/>
      <c r="AM87" s="1"/>
    </row>
    <row r="88" spans="1:39" ht="20.25" customHeight="1" x14ac:dyDescent="0.3">
      <c r="A88" s="1">
        <v>662</v>
      </c>
      <c r="B88" s="6">
        <f>IF(LEN(C88=0),SUBTOTAL(3,$C$10:C88),"")</f>
        <v>6</v>
      </c>
      <c r="C88" s="54" t="s">
        <v>182</v>
      </c>
      <c r="D88" s="55" t="s">
        <v>365</v>
      </c>
      <c r="E88" s="56" t="s">
        <v>361</v>
      </c>
      <c r="F88" s="54" t="s">
        <v>366</v>
      </c>
      <c r="G88" s="57">
        <v>10</v>
      </c>
      <c r="H88" s="57">
        <v>7.5</v>
      </c>
      <c r="I88" s="64" t="s">
        <v>0</v>
      </c>
      <c r="J88" s="57">
        <v>7</v>
      </c>
      <c r="K88" s="10"/>
      <c r="L88" s="68">
        <v>6.7</v>
      </c>
      <c r="M88" s="69" t="str">
        <f>IFERROR(LOOKUP(INT(L88),Sheet1!$A$2:$A$12,Sheet1!$B$2:$B$12)&amp;" phẩy "&amp;(LOOKUP(ROUND(L88-INT(L88),1)*10,Sheet1!$A$2:$A$12,Sheet1!$C$2:$C$12)),"")</f>
        <v>Sáu phẩy bảy</v>
      </c>
      <c r="N88" s="41"/>
      <c r="O88" s="20" t="s">
        <v>0</v>
      </c>
      <c r="P88" s="7">
        <f t="shared" si="0"/>
        <v>3.2</v>
      </c>
      <c r="Q88" s="8" t="str">
        <f t="shared" si="1"/>
        <v/>
      </c>
      <c r="R88" s="39" t="str">
        <f t="shared" si="4"/>
        <v>10</v>
      </c>
      <c r="S88" s="8" t="str">
        <f t="shared" si="3"/>
        <v/>
      </c>
      <c r="T88" s="9" t="s">
        <v>36</v>
      </c>
      <c r="U88" s="137" t="s">
        <v>4</v>
      </c>
      <c r="V88" s="138" t="s">
        <v>576</v>
      </c>
      <c r="W88" s="9" t="s">
        <v>40</v>
      </c>
      <c r="X88" s="9" t="s">
        <v>345</v>
      </c>
      <c r="Y88" s="9" t="s">
        <v>35</v>
      </c>
      <c r="Z88" s="147">
        <f t="shared" si="5"/>
        <v>7.17</v>
      </c>
      <c r="AA88" s="148" t="str" cm="1">
        <f t="array" ref="AA88">_xlfn.IFS(
    Z88&gt;=9, "A+",
    Z88&gt;=8.5, "A",
    Z88&gt;=8, "B+",
    Z88&gt;=7, "B",
    Z88&gt;=6.5, "C+",
    Z88&gt;=5.5, "C",
    Z88&gt;=5, "D+",
    Z88&gt;=4, "D",
    Z88&lt;4, "F"
)</f>
        <v>B</v>
      </c>
      <c r="AB88" s="1"/>
      <c r="AC88" s="1"/>
      <c r="AD88" s="155" t="s">
        <v>653</v>
      </c>
      <c r="AE88" s="155">
        <f>COUNTIF(AA83:AA155,AD88)</f>
        <v>34</v>
      </c>
      <c r="AF88" s="156">
        <f t="shared" si="6"/>
        <v>46.575342465753423</v>
      </c>
      <c r="AG88" s="1"/>
      <c r="AH88" s="1"/>
      <c r="AI88" s="1"/>
      <c r="AJ88" s="1"/>
      <c r="AK88" s="1"/>
      <c r="AL88" s="1"/>
      <c r="AM88" s="1"/>
    </row>
    <row r="89" spans="1:39" ht="20.25" customHeight="1" x14ac:dyDescent="0.3">
      <c r="A89" s="1">
        <v>663</v>
      </c>
      <c r="B89" s="6">
        <f>IF(LEN(C89=0),SUBTOTAL(3,$C$10:C89),"")</f>
        <v>7</v>
      </c>
      <c r="C89" s="54" t="s">
        <v>251</v>
      </c>
      <c r="D89" s="55" t="s">
        <v>367</v>
      </c>
      <c r="E89" s="56" t="s">
        <v>368</v>
      </c>
      <c r="F89" s="54" t="s">
        <v>369</v>
      </c>
      <c r="G89" s="57">
        <v>10</v>
      </c>
      <c r="H89" s="57">
        <v>8.5</v>
      </c>
      <c r="I89" s="64" t="s">
        <v>0</v>
      </c>
      <c r="J89" s="57">
        <v>7.5</v>
      </c>
      <c r="K89" s="10"/>
      <c r="L89" s="68">
        <v>7.7</v>
      </c>
      <c r="M89" s="69" t="str">
        <f>IFERROR(LOOKUP(INT(L89),Sheet1!$A$2:$A$12,Sheet1!$B$2:$B$12)&amp;" phẩy "&amp;(LOOKUP(ROUND(L89-INT(L89),1)*10,Sheet1!$A$2:$A$12,Sheet1!$C$2:$C$12)),"")</f>
        <v>Bảy phẩy bảy</v>
      </c>
      <c r="N89" s="41"/>
      <c r="O89" s="20" t="s">
        <v>0</v>
      </c>
      <c r="P89" s="7">
        <f t="shared" si="0"/>
        <v>3.4</v>
      </c>
      <c r="Q89" s="8" t="str">
        <f t="shared" si="1"/>
        <v/>
      </c>
      <c r="R89" s="39" t="str">
        <f t="shared" si="4"/>
        <v>10</v>
      </c>
      <c r="S89" s="8" t="str">
        <f t="shared" si="3"/>
        <v/>
      </c>
      <c r="T89" s="9" t="s">
        <v>36</v>
      </c>
      <c r="U89" s="137" t="s">
        <v>4</v>
      </c>
      <c r="V89" s="138" t="s">
        <v>576</v>
      </c>
      <c r="W89" s="9" t="s">
        <v>40</v>
      </c>
      <c r="X89" s="9" t="s">
        <v>345</v>
      </c>
      <c r="Y89" s="9" t="s">
        <v>35</v>
      </c>
      <c r="Z89" s="147">
        <f t="shared" si="5"/>
        <v>7.9700000000000006</v>
      </c>
      <c r="AA89" s="148" t="s">
        <v>652</v>
      </c>
      <c r="AB89" s="1"/>
      <c r="AC89" s="1"/>
      <c r="AD89" s="155" t="s">
        <v>654</v>
      </c>
      <c r="AE89" s="155">
        <f>COUNTIF(AA83:AA155,AD89)</f>
        <v>4</v>
      </c>
      <c r="AF89" s="156">
        <f t="shared" si="6"/>
        <v>5.4794520547945202</v>
      </c>
      <c r="AG89" s="1"/>
      <c r="AH89" s="1"/>
      <c r="AI89" s="1"/>
      <c r="AJ89" s="1"/>
      <c r="AK89" s="1"/>
      <c r="AL89" s="1"/>
      <c r="AM89" s="1"/>
    </row>
    <row r="90" spans="1:39" ht="20.25" customHeight="1" x14ac:dyDescent="0.3">
      <c r="A90" s="1">
        <v>664</v>
      </c>
      <c r="B90" s="6">
        <f>IF(LEN(C90=0),SUBTOTAL(3,$C$10:C90),"")</f>
        <v>8</v>
      </c>
      <c r="C90" s="54" t="s">
        <v>260</v>
      </c>
      <c r="D90" s="55" t="s">
        <v>370</v>
      </c>
      <c r="E90" s="56" t="s">
        <v>371</v>
      </c>
      <c r="F90" s="54" t="s">
        <v>372</v>
      </c>
      <c r="G90" s="57">
        <v>10</v>
      </c>
      <c r="H90" s="57">
        <v>8</v>
      </c>
      <c r="I90" s="64" t="s">
        <v>0</v>
      </c>
      <c r="J90" s="57">
        <v>8.5</v>
      </c>
      <c r="K90" s="10"/>
      <c r="L90" s="68">
        <v>8.3000000000000007</v>
      </c>
      <c r="M90" s="69" t="str">
        <f>IFERROR(LOOKUP(INT(L90),Sheet1!$A$2:$A$12,Sheet1!$B$2:$B$12)&amp;" phẩy "&amp;(LOOKUP(ROUND(L90-INT(L90),1)*10,Sheet1!$A$2:$A$12,Sheet1!$C$2:$C$12)),"")</f>
        <v>Tám phẩy ba</v>
      </c>
      <c r="N90" s="41"/>
      <c r="O90" s="20" t="s">
        <v>0</v>
      </c>
      <c r="P90" s="7">
        <f t="shared" si="0"/>
        <v>3.5</v>
      </c>
      <c r="Q90" s="8" t="str">
        <f t="shared" si="1"/>
        <v/>
      </c>
      <c r="R90" s="39" t="str">
        <f t="shared" si="4"/>
        <v>10</v>
      </c>
      <c r="S90" s="8" t="str">
        <f t="shared" si="3"/>
        <v/>
      </c>
      <c r="T90" s="9" t="s">
        <v>36</v>
      </c>
      <c r="U90" s="137" t="s">
        <v>4</v>
      </c>
      <c r="V90" s="138" t="s">
        <v>576</v>
      </c>
      <c r="W90" s="9" t="s">
        <v>40</v>
      </c>
      <c r="X90" s="9" t="s">
        <v>345</v>
      </c>
      <c r="Y90" s="9" t="s">
        <v>35</v>
      </c>
      <c r="Z90" s="147">
        <f t="shared" si="5"/>
        <v>8.48</v>
      </c>
      <c r="AA90" s="148" t="s">
        <v>651</v>
      </c>
      <c r="AB90" s="1"/>
      <c r="AC90" s="1"/>
      <c r="AD90" s="155" t="s">
        <v>655</v>
      </c>
      <c r="AE90" s="155">
        <f>COUNTIF(AA83:AA155,AD90)</f>
        <v>3</v>
      </c>
      <c r="AF90" s="156">
        <f t="shared" si="6"/>
        <v>4.10958904109589</v>
      </c>
      <c r="AG90" s="1"/>
      <c r="AH90" s="1"/>
      <c r="AI90" s="1"/>
      <c r="AJ90" s="1"/>
      <c r="AK90" s="1"/>
      <c r="AL90" s="1"/>
      <c r="AM90" s="1"/>
    </row>
    <row r="91" spans="1:39" ht="20.25" customHeight="1" x14ac:dyDescent="0.3">
      <c r="A91" s="1">
        <v>665</v>
      </c>
      <c r="B91" s="6">
        <f>IF(LEN(C91=0),SUBTOTAL(3,$C$10:C91),"")</f>
        <v>9</v>
      </c>
      <c r="C91" s="54" t="s">
        <v>119</v>
      </c>
      <c r="D91" s="55" t="s">
        <v>373</v>
      </c>
      <c r="E91" s="56" t="s">
        <v>374</v>
      </c>
      <c r="F91" s="54" t="s">
        <v>354</v>
      </c>
      <c r="G91" s="57">
        <v>10</v>
      </c>
      <c r="H91" s="57">
        <v>8.5</v>
      </c>
      <c r="I91" s="64" t="s">
        <v>0</v>
      </c>
      <c r="J91" s="57">
        <v>8.5</v>
      </c>
      <c r="K91" s="10"/>
      <c r="L91" s="68">
        <v>7.7</v>
      </c>
      <c r="M91" s="69" t="str">
        <f>IFERROR(LOOKUP(INT(L91),Sheet1!$A$2:$A$12,Sheet1!$B$2:$B$12)&amp;" phẩy "&amp;(LOOKUP(ROUND(L91-INT(L91),1)*10,Sheet1!$A$2:$A$12,Sheet1!$C$2:$C$12)),"")</f>
        <v>Bảy phẩy bảy</v>
      </c>
      <c r="N91" s="41"/>
      <c r="O91" s="20" t="s">
        <v>0</v>
      </c>
      <c r="P91" s="7">
        <f t="shared" si="0"/>
        <v>3.6</v>
      </c>
      <c r="Q91" s="8" t="str">
        <f t="shared" si="1"/>
        <v/>
      </c>
      <c r="R91" s="39" t="str">
        <f t="shared" si="4"/>
        <v>10</v>
      </c>
      <c r="S91" s="8" t="str">
        <f t="shared" si="3"/>
        <v/>
      </c>
      <c r="T91" s="9" t="s">
        <v>36</v>
      </c>
      <c r="U91" s="137" t="s">
        <v>4</v>
      </c>
      <c r="V91" s="138" t="s">
        <v>576</v>
      </c>
      <c r="W91" s="9" t="s">
        <v>40</v>
      </c>
      <c r="X91" s="9" t="s">
        <v>345</v>
      </c>
      <c r="Y91" s="9" t="s">
        <v>35</v>
      </c>
      <c r="Z91" s="147">
        <f t="shared" si="5"/>
        <v>8.17</v>
      </c>
      <c r="AA91" s="148" t="str" cm="1">
        <f t="array" ref="AA91">_xlfn.IFS(
    Z91&gt;=9, "A+",
    Z91&gt;=8.5, "A",
    Z91&gt;=8, "B+",
    Z91&gt;=7, "B",
    Z91&gt;=6.5, "C+",
    Z91&gt;=5.5, "C",
    Z91&gt;=5, "D+",
    Z91&gt;=4, "D",
    Z91&lt;4, "F"
)</f>
        <v>B+</v>
      </c>
      <c r="AB91" s="1"/>
      <c r="AC91" s="1"/>
      <c r="AD91" s="155" t="s">
        <v>657</v>
      </c>
      <c r="AE91" s="155">
        <f>COUNTIF(AA83:AA155,AD91)</f>
        <v>0</v>
      </c>
      <c r="AF91" s="156">
        <f t="shared" si="6"/>
        <v>0</v>
      </c>
      <c r="AG91" s="1"/>
      <c r="AH91" s="1"/>
      <c r="AI91" s="1"/>
      <c r="AJ91" s="1"/>
      <c r="AK91" s="1"/>
      <c r="AL91" s="1"/>
      <c r="AM91" s="1"/>
    </row>
    <row r="92" spans="1:39" ht="20.25" customHeight="1" x14ac:dyDescent="0.3">
      <c r="A92" s="1">
        <v>666</v>
      </c>
      <c r="B92" s="6">
        <f>IF(LEN(C92=0),SUBTOTAL(3,$C$10:C92),"")</f>
        <v>10</v>
      </c>
      <c r="C92" s="54" t="s">
        <v>223</v>
      </c>
      <c r="D92" s="55" t="s">
        <v>375</v>
      </c>
      <c r="E92" s="56" t="s">
        <v>376</v>
      </c>
      <c r="F92" s="54" t="s">
        <v>366</v>
      </c>
      <c r="G92" s="57">
        <v>10</v>
      </c>
      <c r="H92" s="57">
        <v>7.5</v>
      </c>
      <c r="I92" s="64" t="s">
        <v>0</v>
      </c>
      <c r="J92" s="57">
        <v>7.5</v>
      </c>
      <c r="K92" s="10"/>
      <c r="L92" s="68">
        <v>6.8</v>
      </c>
      <c r="M92" s="69" t="str">
        <f>IFERROR(LOOKUP(INT(L92),Sheet1!$A$2:$A$12,Sheet1!$B$2:$B$12)&amp;" phẩy "&amp;(LOOKUP(ROUND(L92-INT(L92),1)*10,Sheet1!$A$2:$A$12,Sheet1!$C$2:$C$12)),"")</f>
        <v>Sáu phẩy tám</v>
      </c>
      <c r="N92" s="41"/>
      <c r="O92" s="20" t="s">
        <v>0</v>
      </c>
      <c r="P92" s="7">
        <f t="shared" si="0"/>
        <v>3.3</v>
      </c>
      <c r="Q92" s="8" t="str">
        <f t="shared" si="1"/>
        <v/>
      </c>
      <c r="R92" s="39" t="str">
        <f t="shared" si="4"/>
        <v>10</v>
      </c>
      <c r="S92" s="8" t="str">
        <f t="shared" si="3"/>
        <v/>
      </c>
      <c r="T92" s="9" t="s">
        <v>36</v>
      </c>
      <c r="U92" s="137" t="s">
        <v>4</v>
      </c>
      <c r="V92" s="138" t="s">
        <v>576</v>
      </c>
      <c r="W92" s="9" t="s">
        <v>40</v>
      </c>
      <c r="X92" s="9" t="s">
        <v>345</v>
      </c>
      <c r="Y92" s="9" t="s">
        <v>35</v>
      </c>
      <c r="Z92" s="147">
        <f t="shared" si="5"/>
        <v>7.33</v>
      </c>
      <c r="AA92" s="148" t="str" cm="1">
        <f t="array" ref="AA92">_xlfn.IFS(
    Z92&gt;=9, "A+",
    Z92&gt;=8.5, "A",
    Z92&gt;=8, "B+",
    Z92&gt;=7, "B",
    Z92&gt;=6.5, "C+",
    Z92&gt;=5.5, "C",
    Z92&gt;=5, "D+",
    Z92&gt;=4, "D",
    Z92&lt;4, "F"
)</f>
        <v>B</v>
      </c>
      <c r="AB92" s="1"/>
      <c r="AC92" s="1"/>
      <c r="AD92" s="155" t="s">
        <v>656</v>
      </c>
      <c r="AE92" s="155">
        <f>COUNTIF(AA83:AA155,AD92)</f>
        <v>2</v>
      </c>
      <c r="AF92" s="156">
        <f t="shared" si="6"/>
        <v>2.7397260273972601</v>
      </c>
      <c r="AG92" s="1"/>
      <c r="AH92" s="1"/>
      <c r="AI92" s="1"/>
      <c r="AJ92" s="1"/>
      <c r="AK92" s="1"/>
      <c r="AL92" s="1"/>
      <c r="AM92" s="1"/>
    </row>
    <row r="93" spans="1:39" ht="20.25" customHeight="1" x14ac:dyDescent="0.3">
      <c r="A93" s="1">
        <v>667</v>
      </c>
      <c r="B93" s="6">
        <f>IF(LEN(C93=0),SUBTOTAL(3,$C$10:C93),"")</f>
        <v>11</v>
      </c>
      <c r="C93" s="54" t="s">
        <v>190</v>
      </c>
      <c r="D93" s="55" t="s">
        <v>377</v>
      </c>
      <c r="E93" s="56" t="s">
        <v>378</v>
      </c>
      <c r="F93" s="54" t="s">
        <v>356</v>
      </c>
      <c r="G93" s="57">
        <v>9</v>
      </c>
      <c r="H93" s="57">
        <v>8</v>
      </c>
      <c r="I93" s="64" t="s">
        <v>0</v>
      </c>
      <c r="J93" s="57">
        <v>8.5</v>
      </c>
      <c r="K93" s="10"/>
      <c r="L93" s="68">
        <v>8.5</v>
      </c>
      <c r="M93" s="69" t="str">
        <f>IFERROR(LOOKUP(INT(L93),Sheet1!$A$2:$A$12,Sheet1!$B$2:$B$12)&amp;" phẩy "&amp;(LOOKUP(ROUND(L93-INT(L93),1)*10,Sheet1!$A$2:$A$12,Sheet1!$C$2:$C$12)),"")</f>
        <v>Tám phẩy năm</v>
      </c>
      <c r="N93" s="41"/>
      <c r="O93" s="20" t="s">
        <v>0</v>
      </c>
      <c r="P93" s="7">
        <f t="shared" si="0"/>
        <v>3.4</v>
      </c>
      <c r="Q93" s="8" t="str">
        <f t="shared" si="1"/>
        <v/>
      </c>
      <c r="R93" s="39" t="str">
        <f t="shared" si="4"/>
        <v>10</v>
      </c>
      <c r="S93" s="8" t="str">
        <f t="shared" si="3"/>
        <v/>
      </c>
      <c r="T93" s="9" t="s">
        <v>36</v>
      </c>
      <c r="U93" s="137" t="s">
        <v>4</v>
      </c>
      <c r="V93" s="138" t="s">
        <v>576</v>
      </c>
      <c r="W93" s="9" t="s">
        <v>40</v>
      </c>
      <c r="X93" s="9" t="s">
        <v>345</v>
      </c>
      <c r="Y93" s="9" t="s">
        <v>35</v>
      </c>
      <c r="Z93" s="147">
        <f t="shared" si="5"/>
        <v>8.5</v>
      </c>
      <c r="AA93" s="148" t="str" cm="1">
        <f t="array" ref="AA93">_xlfn.IFS(
    Z93&gt;=9, "A+",
    Z93&gt;=8.5, "A",
    Z93&gt;=8, "B+",
    Z93&gt;=7, "B",
    Z93&gt;=6.5, "C+",
    Z93&gt;=5.5, "C",
    Z93&gt;=5, "D+",
    Z93&gt;=4, "D",
    Z93&lt;4, "F"
)</f>
        <v>A</v>
      </c>
      <c r="AB93" s="1"/>
      <c r="AC93" s="1"/>
      <c r="AD93" s="155" t="s">
        <v>658</v>
      </c>
      <c r="AE93" s="155">
        <f>COUNTIF(AA83:AA155,AD93)</f>
        <v>1</v>
      </c>
      <c r="AF93" s="156">
        <f t="shared" si="6"/>
        <v>1.3698630136986301</v>
      </c>
      <c r="AG93" s="1"/>
      <c r="AH93" s="1"/>
      <c r="AI93" s="1"/>
      <c r="AJ93" s="1"/>
      <c r="AK93" s="1"/>
      <c r="AL93" s="1"/>
      <c r="AM93" s="1"/>
    </row>
    <row r="94" spans="1:39" ht="20.25" customHeight="1" x14ac:dyDescent="0.3">
      <c r="A94" s="1">
        <v>668</v>
      </c>
      <c r="B94" s="6">
        <f>IF(LEN(C94=0),SUBTOTAL(3,$C$10:C94),"")</f>
        <v>12</v>
      </c>
      <c r="C94" s="54" t="s">
        <v>261</v>
      </c>
      <c r="D94" s="55" t="s">
        <v>379</v>
      </c>
      <c r="E94" s="56" t="s">
        <v>378</v>
      </c>
      <c r="F94" s="54" t="s">
        <v>356</v>
      </c>
      <c r="G94" s="57">
        <v>9</v>
      </c>
      <c r="H94" s="57">
        <v>8</v>
      </c>
      <c r="I94" s="64" t="s">
        <v>0</v>
      </c>
      <c r="J94" s="57">
        <v>8.5</v>
      </c>
      <c r="K94" s="10"/>
      <c r="L94" s="68">
        <v>8.3000000000000007</v>
      </c>
      <c r="M94" s="69" t="str">
        <f>IFERROR(LOOKUP(INT(L94),Sheet1!$A$2:$A$12,Sheet1!$B$2:$B$12)&amp;" phẩy "&amp;(LOOKUP(ROUND(L94-INT(L94),1)*10,Sheet1!$A$2:$A$12,Sheet1!$C$2:$C$12)),"")</f>
        <v>Tám phẩy ba</v>
      </c>
      <c r="N94" s="41"/>
      <c r="O94" s="20" t="s">
        <v>0</v>
      </c>
      <c r="P94" s="7">
        <f t="shared" si="0"/>
        <v>3.4</v>
      </c>
      <c r="Q94" s="8" t="str">
        <f t="shared" si="1"/>
        <v/>
      </c>
      <c r="R94" s="39" t="str">
        <f t="shared" si="4"/>
        <v>10</v>
      </c>
      <c r="S94" s="8" t="str">
        <f t="shared" si="3"/>
        <v/>
      </c>
      <c r="T94" s="9" t="s">
        <v>36</v>
      </c>
      <c r="U94" s="137" t="s">
        <v>4</v>
      </c>
      <c r="V94" s="138" t="s">
        <v>576</v>
      </c>
      <c r="W94" s="9" t="s">
        <v>40</v>
      </c>
      <c r="X94" s="9" t="s">
        <v>345</v>
      </c>
      <c r="Y94" s="9" t="s">
        <v>35</v>
      </c>
      <c r="Z94" s="147">
        <f t="shared" si="5"/>
        <v>8.3800000000000008</v>
      </c>
      <c r="AA94" s="148" t="str" cm="1">
        <f t="array" ref="AA94">_xlfn.IFS(
    Z94&gt;=9, "A+",
    Z94&gt;=8.5, "A",
    Z94&gt;=8, "B+",
    Z94&gt;=7, "B",
    Z94&gt;=6.5, "C+",
    Z94&gt;=5.5, "C",
    Z94&gt;=5, "D+",
    Z94&gt;=4, "D",
    Z94&lt;4, "F"
)</f>
        <v>B+</v>
      </c>
      <c r="AB94" s="1"/>
      <c r="AC94" s="1"/>
      <c r="AD94" s="155" t="s">
        <v>662</v>
      </c>
      <c r="AE94" s="155">
        <f>SUM(AE85:AE93)</f>
        <v>73</v>
      </c>
      <c r="AF94" s="155">
        <f>SUM(AF85:AF93)</f>
        <v>99.999999999999986</v>
      </c>
      <c r="AG94" s="1"/>
      <c r="AH94" s="1"/>
      <c r="AI94" s="1"/>
      <c r="AJ94" s="1"/>
      <c r="AK94" s="1"/>
      <c r="AL94" s="1"/>
      <c r="AM94" s="1"/>
    </row>
    <row r="95" spans="1:39" ht="20.25" customHeight="1" x14ac:dyDescent="0.3">
      <c r="A95" s="1">
        <v>669</v>
      </c>
      <c r="B95" s="6">
        <f>IF(LEN(C95=0),SUBTOTAL(3,$C$10:C95),"")</f>
        <v>13</v>
      </c>
      <c r="C95" s="54" t="s">
        <v>191</v>
      </c>
      <c r="D95" s="55" t="s">
        <v>380</v>
      </c>
      <c r="E95" s="56" t="s">
        <v>381</v>
      </c>
      <c r="F95" s="54" t="s">
        <v>366</v>
      </c>
      <c r="G95" s="57">
        <v>9</v>
      </c>
      <c r="H95" s="57">
        <v>8</v>
      </c>
      <c r="I95" s="64" t="s">
        <v>0</v>
      </c>
      <c r="J95" s="57">
        <v>8.5</v>
      </c>
      <c r="K95" s="10"/>
      <c r="L95" s="68">
        <v>7.3</v>
      </c>
      <c r="M95" s="69" t="str">
        <f>IFERROR(LOOKUP(INT(L95),Sheet1!$A$2:$A$12,Sheet1!$B$2:$B$12)&amp;" phẩy "&amp;(LOOKUP(ROUND(L95-INT(L95),1)*10,Sheet1!$A$2:$A$12,Sheet1!$C$2:$C$12)),"")</f>
        <v>Bảy phẩy ba</v>
      </c>
      <c r="N95" s="41"/>
      <c r="O95" s="20" t="s">
        <v>0</v>
      </c>
      <c r="P95" s="7">
        <f t="shared" si="0"/>
        <v>3.4</v>
      </c>
      <c r="Q95" s="8" t="str">
        <f t="shared" si="1"/>
        <v/>
      </c>
      <c r="R95" s="39" t="str">
        <f t="shared" si="4"/>
        <v>10</v>
      </c>
      <c r="S95" s="8" t="str">
        <f t="shared" si="3"/>
        <v/>
      </c>
      <c r="T95" s="9" t="s">
        <v>36</v>
      </c>
      <c r="U95" s="137" t="s">
        <v>4</v>
      </c>
      <c r="V95" s="138" t="s">
        <v>576</v>
      </c>
      <c r="W95" s="9" t="s">
        <v>40</v>
      </c>
      <c r="X95" s="9" t="s">
        <v>345</v>
      </c>
      <c r="Y95" s="9" t="s">
        <v>35</v>
      </c>
      <c r="Z95" s="147">
        <f t="shared" si="5"/>
        <v>7.78</v>
      </c>
      <c r="AA95" s="148" t="str" cm="1">
        <f t="array" ref="AA95">_xlfn.IFS(
    Z95&gt;=9, "A+",
    Z95&gt;=8.5, "A",
    Z95&gt;=8, "B+",
    Z95&gt;=7, "B",
    Z95&gt;=6.5, "C+",
    Z95&gt;=5.5, "C",
    Z95&gt;=5, "D+",
    Z95&gt;=4, "D",
    Z95&lt;4, "F"
)</f>
        <v>B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ht="20.25" customHeight="1" x14ac:dyDescent="0.3">
      <c r="A96" s="1">
        <v>670</v>
      </c>
      <c r="B96" s="6">
        <f>IF(LEN(C96=0),SUBTOTAL(3,$C$10:C96),"")</f>
        <v>14</v>
      </c>
      <c r="C96" s="54" t="s">
        <v>234</v>
      </c>
      <c r="D96" s="55" t="s">
        <v>382</v>
      </c>
      <c r="E96" s="56" t="s">
        <v>383</v>
      </c>
      <c r="F96" s="54" t="s">
        <v>354</v>
      </c>
      <c r="G96" s="57">
        <v>2</v>
      </c>
      <c r="H96" s="57">
        <v>5</v>
      </c>
      <c r="I96" s="64" t="s">
        <v>0</v>
      </c>
      <c r="J96" s="57">
        <v>6</v>
      </c>
      <c r="K96" s="10"/>
      <c r="L96" s="68">
        <v>4</v>
      </c>
      <c r="M96" s="69" t="str">
        <f>IFERROR(LOOKUP(INT(L96),Sheet1!$A$2:$A$12,Sheet1!$B$2:$B$12)&amp;" phẩy "&amp;(LOOKUP(ROUND(L96-INT(L96),1)*10,Sheet1!$A$2:$A$12,Sheet1!$C$2:$C$12)),"")</f>
        <v>Bốn phẩy không</v>
      </c>
      <c r="N96" s="41"/>
      <c r="O96" s="20" t="s">
        <v>0</v>
      </c>
      <c r="P96" s="7">
        <f t="shared" si="0"/>
        <v>1.9</v>
      </c>
      <c r="Q96" s="8" t="str">
        <f t="shared" si="1"/>
        <v/>
      </c>
      <c r="R96" s="39" t="str">
        <f t="shared" si="4"/>
        <v>10</v>
      </c>
      <c r="S96" s="8" t="str">
        <f t="shared" si="3"/>
        <v/>
      </c>
      <c r="T96" s="9" t="s">
        <v>36</v>
      </c>
      <c r="U96" s="137" t="s">
        <v>4</v>
      </c>
      <c r="V96" s="138" t="s">
        <v>576</v>
      </c>
      <c r="W96" s="9" t="s">
        <v>40</v>
      </c>
      <c r="X96" s="9" t="s">
        <v>345</v>
      </c>
      <c r="Y96" s="9" t="s">
        <v>35</v>
      </c>
      <c r="Z96" s="147">
        <f t="shared" si="5"/>
        <v>4.3</v>
      </c>
      <c r="AA96" s="148" t="str" cm="1">
        <f t="array" ref="AA96">_xlfn.IFS(
    Z96&gt;=9, "A+",
    Z96&gt;=8.5, "A",
    Z96&gt;=8, "B+",
    Z96&gt;=7, "B",
    Z96&gt;=6.5, "C+",
    Z96&gt;=5.5, "C",
    Z96&gt;=5, "D+",
    Z96&gt;=4, "D",
    Z96&lt;4, "F"
)</f>
        <v>D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ht="20.25" customHeight="1" x14ac:dyDescent="0.3">
      <c r="A97" s="1">
        <v>671</v>
      </c>
      <c r="B97" s="6">
        <f>IF(LEN(C97=0),SUBTOTAL(3,$C$10:C97),"")</f>
        <v>15</v>
      </c>
      <c r="C97" s="54" t="s">
        <v>217</v>
      </c>
      <c r="D97" s="55" t="s">
        <v>384</v>
      </c>
      <c r="E97" s="56" t="s">
        <v>383</v>
      </c>
      <c r="F97" s="54" t="s">
        <v>385</v>
      </c>
      <c r="G97" s="57">
        <v>10</v>
      </c>
      <c r="H97" s="57">
        <v>7.5</v>
      </c>
      <c r="I97" s="64" t="s">
        <v>0</v>
      </c>
      <c r="J97" s="57">
        <v>7.5</v>
      </c>
      <c r="K97" s="10"/>
      <c r="L97" s="68">
        <v>6.2</v>
      </c>
      <c r="M97" s="69" t="str">
        <f>IFERROR(LOOKUP(INT(L97),Sheet1!$A$2:$A$12,Sheet1!$B$2:$B$12)&amp;" phẩy "&amp;(LOOKUP(ROUND(L97-INT(L97),1)*10,Sheet1!$A$2:$A$12,Sheet1!$C$2:$C$12)),"")</f>
        <v>Sáu phẩy hai</v>
      </c>
      <c r="N97" s="41"/>
      <c r="O97" s="20" t="s">
        <v>0</v>
      </c>
      <c r="P97" s="7">
        <f t="shared" si="0"/>
        <v>3.3</v>
      </c>
      <c r="Q97" s="8" t="str">
        <f t="shared" si="1"/>
        <v/>
      </c>
      <c r="R97" s="39" t="str">
        <f t="shared" si="4"/>
        <v>10</v>
      </c>
      <c r="S97" s="8" t="str">
        <f t="shared" si="3"/>
        <v/>
      </c>
      <c r="T97" s="9" t="s">
        <v>36</v>
      </c>
      <c r="U97" s="137" t="s">
        <v>4</v>
      </c>
      <c r="V97" s="138" t="s">
        <v>576</v>
      </c>
      <c r="W97" s="9" t="s">
        <v>40</v>
      </c>
      <c r="X97" s="9" t="s">
        <v>345</v>
      </c>
      <c r="Y97" s="9" t="s">
        <v>35</v>
      </c>
      <c r="Z97" s="147">
        <f t="shared" si="5"/>
        <v>6.97</v>
      </c>
      <c r="AA97" s="148" t="str" cm="1">
        <f t="array" ref="AA97">_xlfn.IFS(
    Z97&gt;=9, "A+",
    Z97&gt;=8.5, "A",
    Z97&gt;=8, "B+",
    Z97&gt;=7, "B",
    Z97&gt;=6.5, "C+",
    Z97&gt;=5.5, "C",
    Z97&gt;=5, "D+",
    Z97&gt;=4, "D",
    Z97&lt;4, "F"
)</f>
        <v>C+</v>
      </c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ht="20.25" customHeight="1" x14ac:dyDescent="0.3">
      <c r="A98" s="1">
        <v>672</v>
      </c>
      <c r="B98" s="6">
        <f>IF(LEN(C98=0),SUBTOTAL(3,$C$10:C98),"")</f>
        <v>16</v>
      </c>
      <c r="C98" s="54" t="s">
        <v>126</v>
      </c>
      <c r="D98" s="55" t="s">
        <v>386</v>
      </c>
      <c r="E98" s="56" t="s">
        <v>387</v>
      </c>
      <c r="F98" s="54" t="s">
        <v>388</v>
      </c>
      <c r="G98" s="57">
        <v>9</v>
      </c>
      <c r="H98" s="57">
        <v>8.5</v>
      </c>
      <c r="I98" s="64" t="s">
        <v>0</v>
      </c>
      <c r="J98" s="57">
        <v>7.5</v>
      </c>
      <c r="K98" s="10"/>
      <c r="L98" s="68">
        <v>7.3</v>
      </c>
      <c r="M98" s="69" t="str">
        <f>IFERROR(LOOKUP(INT(L98),Sheet1!$A$2:$A$12,Sheet1!$B$2:$B$12)&amp;" phẩy "&amp;(LOOKUP(ROUND(L98-INT(L98),1)*10,Sheet1!$A$2:$A$12,Sheet1!$C$2:$C$12)),"")</f>
        <v>Bảy phẩy ba</v>
      </c>
      <c r="N98" s="41"/>
      <c r="O98" s="20" t="s">
        <v>0</v>
      </c>
      <c r="P98" s="7">
        <f t="shared" si="0"/>
        <v>3.3</v>
      </c>
      <c r="Q98" s="8" t="str">
        <f t="shared" si="1"/>
        <v/>
      </c>
      <c r="R98" s="39" t="str">
        <f t="shared" si="4"/>
        <v>10</v>
      </c>
      <c r="S98" s="8" t="str">
        <f t="shared" si="3"/>
        <v/>
      </c>
      <c r="T98" s="9" t="s">
        <v>36</v>
      </c>
      <c r="U98" s="137" t="s">
        <v>4</v>
      </c>
      <c r="V98" s="138" t="s">
        <v>576</v>
      </c>
      <c r="W98" s="9" t="s">
        <v>40</v>
      </c>
      <c r="X98" s="9" t="s">
        <v>345</v>
      </c>
      <c r="Y98" s="9" t="s">
        <v>35</v>
      </c>
      <c r="Z98" s="147">
        <f t="shared" si="5"/>
        <v>7.63</v>
      </c>
      <c r="AA98" s="148" t="str" cm="1">
        <f t="array" ref="AA98">_xlfn.IFS(
    Z98&gt;=9, "A+",
    Z98&gt;=8.5, "A",
    Z98&gt;=8, "B+",
    Z98&gt;=7, "B",
    Z98&gt;=6.5, "C+",
    Z98&gt;=5.5, "C",
    Z98&gt;=5, "D+",
    Z98&gt;=4, "D",
    Z98&lt;4, "F"
)</f>
        <v>B</v>
      </c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ht="20.25" customHeight="1" x14ac:dyDescent="0.3">
      <c r="A99" s="1">
        <v>673</v>
      </c>
      <c r="B99" s="6">
        <f>IF(LEN(C99=0),SUBTOTAL(3,$C$10:C99),"")</f>
        <v>17</v>
      </c>
      <c r="C99" s="54" t="s">
        <v>120</v>
      </c>
      <c r="D99" s="55" t="s">
        <v>389</v>
      </c>
      <c r="E99" s="56" t="s">
        <v>390</v>
      </c>
      <c r="F99" s="54" t="s">
        <v>364</v>
      </c>
      <c r="G99" s="57">
        <v>10</v>
      </c>
      <c r="H99" s="57">
        <v>8.5</v>
      </c>
      <c r="I99" s="64" t="s">
        <v>0</v>
      </c>
      <c r="J99" s="57">
        <v>8.5</v>
      </c>
      <c r="K99" s="10"/>
      <c r="L99" s="68">
        <v>7.2</v>
      </c>
      <c r="M99" s="69" t="str">
        <f>IFERROR(LOOKUP(INT(L99),Sheet1!$A$2:$A$12,Sheet1!$B$2:$B$12)&amp;" phẩy "&amp;(LOOKUP(ROUND(L99-INT(L99),1)*10,Sheet1!$A$2:$A$12,Sheet1!$C$2:$C$12)),"")</f>
        <v>Bảy phẩy hai</v>
      </c>
      <c r="N99" s="41"/>
      <c r="O99" s="20" t="s">
        <v>0</v>
      </c>
      <c r="P99" s="7">
        <f t="shared" si="0"/>
        <v>3.6</v>
      </c>
      <c r="Q99" s="8" t="str">
        <f t="shared" si="1"/>
        <v/>
      </c>
      <c r="R99" s="39" t="str">
        <f t="shared" si="4"/>
        <v>10</v>
      </c>
      <c r="S99" s="8" t="str">
        <f t="shared" si="3"/>
        <v/>
      </c>
      <c r="T99" s="9" t="s">
        <v>36</v>
      </c>
      <c r="U99" s="137" t="s">
        <v>4</v>
      </c>
      <c r="V99" s="138" t="s">
        <v>576</v>
      </c>
      <c r="W99" s="9" t="s">
        <v>40</v>
      </c>
      <c r="X99" s="9" t="s">
        <v>345</v>
      </c>
      <c r="Y99" s="9" t="s">
        <v>35</v>
      </c>
      <c r="Z99" s="147">
        <f t="shared" si="5"/>
        <v>7.870000000000001</v>
      </c>
      <c r="AA99" s="148" t="str" cm="1">
        <f t="array" ref="AA99">_xlfn.IFS(
    Z99&gt;=9, "A+",
    Z99&gt;=8.5, "A",
    Z99&gt;=8, "B+",
    Z99&gt;=7, "B",
    Z99&gt;=6.5, "C+",
    Z99&gt;=5.5, "C",
    Z99&gt;=5, "D+",
    Z99&gt;=4, "D",
    Z99&lt;4, "F"
)</f>
        <v>B</v>
      </c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ht="20.25" customHeight="1" x14ac:dyDescent="0.3">
      <c r="A100" s="1">
        <v>674</v>
      </c>
      <c r="B100" s="6">
        <f>IF(LEN(C100=0),SUBTOTAL(3,$C$10:C100),"")</f>
        <v>18</v>
      </c>
      <c r="C100" s="54" t="s">
        <v>135</v>
      </c>
      <c r="D100" s="55" t="s">
        <v>391</v>
      </c>
      <c r="E100" s="56" t="s">
        <v>390</v>
      </c>
      <c r="F100" s="54" t="s">
        <v>369</v>
      </c>
      <c r="G100" s="57">
        <v>10</v>
      </c>
      <c r="H100" s="57">
        <v>8.5</v>
      </c>
      <c r="I100" s="64" t="s">
        <v>0</v>
      </c>
      <c r="J100" s="57">
        <v>7.5</v>
      </c>
      <c r="K100" s="10"/>
      <c r="L100" s="68">
        <v>7.2</v>
      </c>
      <c r="M100" s="69" t="str">
        <f>IFERROR(LOOKUP(INT(L100),Sheet1!$A$2:$A$12,Sheet1!$B$2:$B$12)&amp;" phẩy "&amp;(LOOKUP(ROUND(L100-INT(L100),1)*10,Sheet1!$A$2:$A$12,Sheet1!$C$2:$C$12)),"")</f>
        <v>Bảy phẩy hai</v>
      </c>
      <c r="N100" s="41"/>
      <c r="O100" s="20" t="s">
        <v>0</v>
      </c>
      <c r="P100" s="7">
        <f t="shared" si="0"/>
        <v>3.4</v>
      </c>
      <c r="Q100" s="8" t="str">
        <f t="shared" si="1"/>
        <v/>
      </c>
      <c r="R100" s="39" t="str">
        <f t="shared" si="4"/>
        <v>10</v>
      </c>
      <c r="S100" s="8" t="str">
        <f t="shared" si="3"/>
        <v/>
      </c>
      <c r="T100" s="9" t="s">
        <v>36</v>
      </c>
      <c r="U100" s="137" t="s">
        <v>4</v>
      </c>
      <c r="V100" s="138" t="s">
        <v>576</v>
      </c>
      <c r="W100" s="9" t="s">
        <v>40</v>
      </c>
      <c r="X100" s="9" t="s">
        <v>345</v>
      </c>
      <c r="Y100" s="9" t="s">
        <v>35</v>
      </c>
      <c r="Z100" s="147">
        <f t="shared" si="5"/>
        <v>7.67</v>
      </c>
      <c r="AA100" s="148" t="str" cm="1">
        <f t="array" ref="AA100">_xlfn.IFS(
    Z100&gt;=9, "A+",
    Z100&gt;=8.5, "A",
    Z100&gt;=8, "B+",
    Z100&gt;=7, "B",
    Z100&gt;=6.5, "C+",
    Z100&gt;=5.5, "C",
    Z100&gt;=5, "D+",
    Z100&gt;=4, "D",
    Z100&lt;4, "F"
)</f>
        <v>B</v>
      </c>
      <c r="AB100" s="1"/>
      <c r="AC100" s="1" t="s">
        <v>666</v>
      </c>
      <c r="AD100" s="155" t="s">
        <v>659</v>
      </c>
      <c r="AE100" s="155" t="s">
        <v>660</v>
      </c>
      <c r="AF100" s="155" t="s">
        <v>661</v>
      </c>
      <c r="AG100" s="1"/>
      <c r="AH100" s="1"/>
      <c r="AI100" s="1"/>
      <c r="AJ100" s="1"/>
      <c r="AK100" s="1"/>
      <c r="AL100" s="1"/>
      <c r="AM100" s="1"/>
    </row>
    <row r="101" spans="1:39" ht="20.25" customHeight="1" x14ac:dyDescent="0.3">
      <c r="A101" s="1">
        <v>675</v>
      </c>
      <c r="B101" s="6">
        <f>IF(LEN(C101=0),SUBTOTAL(3,$C$10:C101),"")</f>
        <v>19</v>
      </c>
      <c r="C101" s="54" t="s">
        <v>103</v>
      </c>
      <c r="D101" s="55" t="s">
        <v>392</v>
      </c>
      <c r="E101" s="56" t="s">
        <v>393</v>
      </c>
      <c r="F101" s="54" t="s">
        <v>364</v>
      </c>
      <c r="G101" s="57">
        <v>9</v>
      </c>
      <c r="H101" s="57">
        <v>8</v>
      </c>
      <c r="I101" s="64" t="s">
        <v>0</v>
      </c>
      <c r="J101" s="57">
        <v>8.5</v>
      </c>
      <c r="K101" s="10"/>
      <c r="L101" s="68">
        <v>7.8</v>
      </c>
      <c r="M101" s="69" t="str">
        <f>IFERROR(LOOKUP(INT(L101),Sheet1!$A$2:$A$12,Sheet1!$B$2:$B$12)&amp;" phẩy "&amp;(LOOKUP(ROUND(L101-INT(L101),1)*10,Sheet1!$A$2:$A$12,Sheet1!$C$2:$C$12)),"")</f>
        <v>Bảy phẩy tám</v>
      </c>
      <c r="N101" s="41"/>
      <c r="O101" s="20" t="s">
        <v>0</v>
      </c>
      <c r="P101" s="7">
        <f t="shared" si="0"/>
        <v>3.4</v>
      </c>
      <c r="Q101" s="8" t="str">
        <f t="shared" si="1"/>
        <v/>
      </c>
      <c r="R101" s="39" t="str">
        <f t="shared" si="4"/>
        <v>10</v>
      </c>
      <c r="S101" s="8" t="str">
        <f t="shared" si="3"/>
        <v/>
      </c>
      <c r="T101" s="9" t="s">
        <v>36</v>
      </c>
      <c r="U101" s="137" t="s">
        <v>4</v>
      </c>
      <c r="V101" s="138" t="s">
        <v>576</v>
      </c>
      <c r="W101" s="9" t="s">
        <v>40</v>
      </c>
      <c r="X101" s="9" t="s">
        <v>345</v>
      </c>
      <c r="Y101" s="9" t="s">
        <v>35</v>
      </c>
      <c r="Z101" s="147">
        <f t="shared" si="5"/>
        <v>8.08</v>
      </c>
      <c r="AA101" s="148" t="str" cm="1">
        <f t="array" ref="AA101">_xlfn.IFS(
    Z101&gt;=9, "A+",
    Z101&gt;=8.5, "A",
    Z101&gt;=8, "B+",
    Z101&gt;=7, "B",
    Z101&gt;=6.5, "C+",
    Z101&gt;=5.5, "C",
    Z101&gt;=5, "D+",
    Z101&gt;=4, "D",
    Z101&lt;4, "F"
)</f>
        <v>B+</v>
      </c>
      <c r="AB101" s="1"/>
      <c r="AC101" s="1"/>
      <c r="AD101" s="155" t="s">
        <v>650</v>
      </c>
      <c r="AE101" s="155">
        <v>1</v>
      </c>
      <c r="AF101" s="156">
        <f>AE101/73*100</f>
        <v>1.3698630136986301</v>
      </c>
      <c r="AG101" s="1"/>
      <c r="AH101" s="1"/>
      <c r="AI101" s="1"/>
      <c r="AJ101" s="1"/>
      <c r="AK101" s="1"/>
      <c r="AL101" s="1"/>
      <c r="AM101" s="1"/>
    </row>
    <row r="102" spans="1:39" ht="20.25" customHeight="1" x14ac:dyDescent="0.3">
      <c r="A102" s="1">
        <v>676</v>
      </c>
      <c r="B102" s="6">
        <f>IF(LEN(C102=0),SUBTOTAL(3,$C$10:C102),"")</f>
        <v>20</v>
      </c>
      <c r="C102" s="54" t="s">
        <v>235</v>
      </c>
      <c r="D102" s="55" t="s">
        <v>394</v>
      </c>
      <c r="E102" s="56" t="s">
        <v>395</v>
      </c>
      <c r="F102" s="54" t="s">
        <v>359</v>
      </c>
      <c r="G102" s="57">
        <v>10</v>
      </c>
      <c r="H102" s="57">
        <v>8</v>
      </c>
      <c r="I102" s="64" t="s">
        <v>0</v>
      </c>
      <c r="J102" s="57">
        <v>7.5</v>
      </c>
      <c r="K102" s="10"/>
      <c r="L102" s="68">
        <v>7.7</v>
      </c>
      <c r="M102" s="69" t="str">
        <f>IFERROR(LOOKUP(INT(L102),Sheet1!$A$2:$A$12,Sheet1!$B$2:$B$12)&amp;" phẩy "&amp;(LOOKUP(ROUND(L102-INT(L102),1)*10,Sheet1!$A$2:$A$12,Sheet1!$C$2:$C$12)),"")</f>
        <v>Bảy phẩy bảy</v>
      </c>
      <c r="N102" s="41"/>
      <c r="O102" s="20" t="s">
        <v>0</v>
      </c>
      <c r="P102" s="7">
        <f t="shared" si="0"/>
        <v>3.3</v>
      </c>
      <c r="Q102" s="8" t="str">
        <f t="shared" si="1"/>
        <v/>
      </c>
      <c r="R102" s="39" t="str">
        <f t="shared" si="4"/>
        <v>10</v>
      </c>
      <c r="S102" s="8" t="str">
        <f t="shared" si="3"/>
        <v/>
      </c>
      <c r="T102" s="9" t="s">
        <v>36</v>
      </c>
      <c r="U102" s="137" t="s">
        <v>4</v>
      </c>
      <c r="V102" s="138" t="s">
        <v>576</v>
      </c>
      <c r="W102" s="9" t="s">
        <v>40</v>
      </c>
      <c r="X102" s="9" t="s">
        <v>345</v>
      </c>
      <c r="Y102" s="9" t="s">
        <v>35</v>
      </c>
      <c r="Z102" s="147">
        <f t="shared" si="5"/>
        <v>7.92</v>
      </c>
      <c r="AA102" s="148" t="str" cm="1">
        <f t="array" ref="AA102">_xlfn.IFS(
    Z102&gt;=9, "A+",
    Z102&gt;=8.5, "A",
    Z102&gt;=8, "B+",
    Z102&gt;=7, "B",
    Z102&gt;=6.5, "C+",
    Z102&gt;=5.5, "C",
    Z102&gt;=5, "D+",
    Z102&gt;=4, "D",
    Z102&lt;4, "F"
)</f>
        <v>B</v>
      </c>
      <c r="AB102" s="1"/>
      <c r="AC102" s="1"/>
      <c r="AD102" s="155" t="s">
        <v>651</v>
      </c>
      <c r="AE102" s="155">
        <v>11</v>
      </c>
      <c r="AF102" s="156">
        <f t="shared" ref="AF102:AF109" si="7">AE102/73*100</f>
        <v>15.068493150684931</v>
      </c>
      <c r="AG102" s="1"/>
      <c r="AH102" s="1"/>
      <c r="AI102" s="1"/>
      <c r="AJ102" s="1"/>
      <c r="AK102" s="1"/>
      <c r="AL102" s="1"/>
      <c r="AM102" s="1"/>
    </row>
    <row r="103" spans="1:39" ht="20.25" customHeight="1" x14ac:dyDescent="0.3">
      <c r="A103" s="1">
        <v>677</v>
      </c>
      <c r="B103" s="6">
        <f>IF(LEN(C103=0),SUBTOTAL(3,$C$10:C103),"")</f>
        <v>21</v>
      </c>
      <c r="C103" s="54" t="s">
        <v>94</v>
      </c>
      <c r="D103" s="55" t="s">
        <v>373</v>
      </c>
      <c r="E103" s="56" t="s">
        <v>396</v>
      </c>
      <c r="F103" s="54" t="s">
        <v>364</v>
      </c>
      <c r="G103" s="57">
        <v>10</v>
      </c>
      <c r="H103" s="57">
        <v>8.5</v>
      </c>
      <c r="I103" s="64" t="s">
        <v>0</v>
      </c>
      <c r="J103" s="57">
        <v>7.5</v>
      </c>
      <c r="K103" s="10"/>
      <c r="L103" s="68">
        <v>7.7</v>
      </c>
      <c r="M103" s="69" t="str">
        <f>IFERROR(LOOKUP(INT(L103),Sheet1!$A$2:$A$12,Sheet1!$B$2:$B$12)&amp;" phẩy "&amp;(LOOKUP(ROUND(L103-INT(L103),1)*10,Sheet1!$A$2:$A$12,Sheet1!$C$2:$C$12)),"")</f>
        <v>Bảy phẩy bảy</v>
      </c>
      <c r="N103" s="41"/>
      <c r="O103" s="20" t="s">
        <v>0</v>
      </c>
      <c r="P103" s="7">
        <f t="shared" si="0"/>
        <v>3.4</v>
      </c>
      <c r="Q103" s="8" t="str">
        <f t="shared" si="1"/>
        <v/>
      </c>
      <c r="R103" s="39" t="str">
        <f t="shared" si="4"/>
        <v>10</v>
      </c>
      <c r="S103" s="8" t="str">
        <f t="shared" si="3"/>
        <v/>
      </c>
      <c r="T103" s="9" t="s">
        <v>36</v>
      </c>
      <c r="U103" s="137" t="s">
        <v>4</v>
      </c>
      <c r="V103" s="138" t="s">
        <v>576</v>
      </c>
      <c r="W103" s="9" t="s">
        <v>40</v>
      </c>
      <c r="X103" s="9" t="s">
        <v>345</v>
      </c>
      <c r="Y103" s="9" t="s">
        <v>35</v>
      </c>
      <c r="Z103" s="147">
        <f t="shared" si="5"/>
        <v>7.9700000000000006</v>
      </c>
      <c r="AA103" s="148" t="s">
        <v>652</v>
      </c>
      <c r="AB103" s="1"/>
      <c r="AC103" s="1"/>
      <c r="AD103" s="155" t="s">
        <v>652</v>
      </c>
      <c r="AE103" s="155">
        <v>21</v>
      </c>
      <c r="AF103" s="156">
        <f t="shared" si="7"/>
        <v>28.767123287671232</v>
      </c>
      <c r="AG103" s="1"/>
      <c r="AH103" s="1"/>
      <c r="AI103" s="1"/>
      <c r="AJ103" s="1"/>
      <c r="AK103" s="1"/>
      <c r="AL103" s="1"/>
      <c r="AM103" s="1"/>
    </row>
    <row r="104" spans="1:39" ht="20.25" customHeight="1" x14ac:dyDescent="0.3">
      <c r="A104" s="1">
        <v>678</v>
      </c>
      <c r="B104" s="6">
        <f>IF(LEN(C104=0),SUBTOTAL(3,$C$10:C104),"")</f>
        <v>22</v>
      </c>
      <c r="C104" s="54" t="s">
        <v>236</v>
      </c>
      <c r="D104" s="55" t="s">
        <v>397</v>
      </c>
      <c r="E104" s="56" t="s">
        <v>396</v>
      </c>
      <c r="F104" s="54" t="s">
        <v>372</v>
      </c>
      <c r="G104" s="57">
        <v>10</v>
      </c>
      <c r="H104" s="57">
        <v>8.5</v>
      </c>
      <c r="I104" s="64" t="s">
        <v>0</v>
      </c>
      <c r="J104" s="57">
        <v>7.5</v>
      </c>
      <c r="K104" s="10"/>
      <c r="L104" s="68">
        <v>7.7</v>
      </c>
      <c r="M104" s="69" t="str">
        <f>IFERROR(LOOKUP(INT(L104),Sheet1!$A$2:$A$12,Sheet1!$B$2:$B$12)&amp;" phẩy "&amp;(LOOKUP(ROUND(L104-INT(L104),1)*10,Sheet1!$A$2:$A$12,Sheet1!$C$2:$C$12)),"")</f>
        <v>Bảy phẩy bảy</v>
      </c>
      <c r="N104" s="41"/>
      <c r="O104" s="20" t="s">
        <v>0</v>
      </c>
      <c r="P104" s="7">
        <f t="shared" si="0"/>
        <v>3.4</v>
      </c>
      <c r="Q104" s="8" t="str">
        <f t="shared" si="1"/>
        <v/>
      </c>
      <c r="R104" s="39" t="str">
        <f t="shared" si="4"/>
        <v>10</v>
      </c>
      <c r="S104" s="8" t="str">
        <f t="shared" si="3"/>
        <v/>
      </c>
      <c r="T104" s="9" t="s">
        <v>36</v>
      </c>
      <c r="U104" s="137" t="s">
        <v>4</v>
      </c>
      <c r="V104" s="138" t="s">
        <v>576</v>
      </c>
      <c r="W104" s="9" t="s">
        <v>40</v>
      </c>
      <c r="X104" s="9" t="s">
        <v>345</v>
      </c>
      <c r="Y104" s="9" t="s">
        <v>35</v>
      </c>
      <c r="Z104" s="147">
        <f t="shared" si="5"/>
        <v>7.9700000000000006</v>
      </c>
      <c r="AA104" s="148" t="s">
        <v>652</v>
      </c>
      <c r="AB104" s="1"/>
      <c r="AC104" s="1"/>
      <c r="AD104" s="155" t="s">
        <v>653</v>
      </c>
      <c r="AE104" s="155">
        <v>24</v>
      </c>
      <c r="AF104" s="156">
        <f t="shared" si="7"/>
        <v>32.87671232876712</v>
      </c>
      <c r="AG104" s="1"/>
      <c r="AH104" s="1"/>
      <c r="AI104" s="1"/>
      <c r="AJ104" s="1"/>
      <c r="AK104" s="1"/>
      <c r="AL104" s="1"/>
      <c r="AM104" s="1"/>
    </row>
    <row r="105" spans="1:39" ht="20.25" customHeight="1" x14ac:dyDescent="0.3">
      <c r="A105" s="1">
        <v>679</v>
      </c>
      <c r="B105" s="6">
        <f>IF(LEN(C105=0),SUBTOTAL(3,$C$10:C105),"")</f>
        <v>23</v>
      </c>
      <c r="C105" s="54" t="s">
        <v>165</v>
      </c>
      <c r="D105" s="55" t="s">
        <v>398</v>
      </c>
      <c r="E105" s="56" t="s">
        <v>399</v>
      </c>
      <c r="F105" s="54" t="s">
        <v>400</v>
      </c>
      <c r="G105" s="57">
        <v>10</v>
      </c>
      <c r="H105" s="57">
        <v>7.5</v>
      </c>
      <c r="I105" s="64" t="s">
        <v>0</v>
      </c>
      <c r="J105" s="57">
        <v>7</v>
      </c>
      <c r="K105" s="10"/>
      <c r="L105" s="68">
        <v>7.2</v>
      </c>
      <c r="M105" s="69" t="str">
        <f>IFERROR(LOOKUP(INT(L105),Sheet1!$A$2:$A$12,Sheet1!$B$2:$B$12)&amp;" phẩy "&amp;(LOOKUP(ROUND(L105-INT(L105),1)*10,Sheet1!$A$2:$A$12,Sheet1!$C$2:$C$12)),"")</f>
        <v>Bảy phẩy hai</v>
      </c>
      <c r="N105" s="41"/>
      <c r="O105" s="20" t="s">
        <v>0</v>
      </c>
      <c r="P105" s="7">
        <f t="shared" si="0"/>
        <v>3.2</v>
      </c>
      <c r="Q105" s="8" t="str">
        <f t="shared" si="1"/>
        <v/>
      </c>
      <c r="R105" s="39" t="str">
        <f t="shared" si="4"/>
        <v>10</v>
      </c>
      <c r="S105" s="8" t="str">
        <f t="shared" si="3"/>
        <v/>
      </c>
      <c r="T105" s="9" t="s">
        <v>36</v>
      </c>
      <c r="U105" s="137" t="s">
        <v>4</v>
      </c>
      <c r="V105" s="138" t="s">
        <v>576</v>
      </c>
      <c r="W105" s="9" t="s">
        <v>40</v>
      </c>
      <c r="X105" s="9" t="s">
        <v>345</v>
      </c>
      <c r="Y105" s="9" t="s">
        <v>35</v>
      </c>
      <c r="Z105" s="147">
        <f t="shared" si="5"/>
        <v>7.4700000000000006</v>
      </c>
      <c r="AA105" s="148" t="str" cm="1">
        <f t="array" ref="AA105">_xlfn.IFS(
    Z105&gt;=9, "A+",
    Z105&gt;=8.5, "A",
    Z105&gt;=8, "B+",
    Z105&gt;=7, "B",
    Z105&gt;=6.5, "C+",
    Z105&gt;=5.5, "C",
    Z105&gt;=5, "D+",
    Z105&gt;=4, "D",
    Z105&lt;4, "F"
)</f>
        <v>B</v>
      </c>
      <c r="AB105" s="1"/>
      <c r="AC105" s="1"/>
      <c r="AD105" s="155" t="s">
        <v>654</v>
      </c>
      <c r="AE105" s="155">
        <v>4</v>
      </c>
      <c r="AF105" s="156">
        <f t="shared" si="7"/>
        <v>5.4794520547945202</v>
      </c>
      <c r="AG105" s="1"/>
      <c r="AH105" s="1"/>
      <c r="AI105" s="1"/>
      <c r="AJ105" s="1"/>
      <c r="AK105" s="1"/>
      <c r="AL105" s="1"/>
      <c r="AM105" s="1"/>
    </row>
    <row r="106" spans="1:39" ht="20.25" customHeight="1" x14ac:dyDescent="0.3">
      <c r="A106" s="1">
        <v>680</v>
      </c>
      <c r="B106" s="6">
        <f>IF(LEN(C106=0),SUBTOTAL(3,$C$10:C106),"")</f>
        <v>24</v>
      </c>
      <c r="C106" s="54" t="s">
        <v>206</v>
      </c>
      <c r="D106" s="55" t="s">
        <v>401</v>
      </c>
      <c r="E106" s="56" t="s">
        <v>402</v>
      </c>
      <c r="F106" s="54" t="s">
        <v>354</v>
      </c>
      <c r="G106" s="57">
        <v>9</v>
      </c>
      <c r="H106" s="57">
        <v>7.5</v>
      </c>
      <c r="I106" s="64" t="s">
        <v>0</v>
      </c>
      <c r="J106" s="57">
        <v>7</v>
      </c>
      <c r="K106" s="10"/>
      <c r="L106" s="68">
        <v>7.7</v>
      </c>
      <c r="M106" s="69" t="str">
        <f>IFERROR(LOOKUP(INT(L106),Sheet1!$A$2:$A$12,Sheet1!$B$2:$B$12)&amp;" phẩy "&amp;(LOOKUP(ROUND(L106-INT(L106),1)*10,Sheet1!$A$2:$A$12,Sheet1!$C$2:$C$12)),"")</f>
        <v>Bảy phẩy bảy</v>
      </c>
      <c r="N106" s="41"/>
      <c r="O106" s="20" t="s">
        <v>0</v>
      </c>
      <c r="P106" s="7">
        <f t="shared" si="0"/>
        <v>3.1</v>
      </c>
      <c r="Q106" s="8" t="str">
        <f t="shared" si="1"/>
        <v/>
      </c>
      <c r="R106" s="39" t="str">
        <f t="shared" si="4"/>
        <v>10</v>
      </c>
      <c r="S106" s="8" t="str">
        <f t="shared" si="3"/>
        <v/>
      </c>
      <c r="T106" s="9" t="s">
        <v>36</v>
      </c>
      <c r="U106" s="137" t="s">
        <v>4</v>
      </c>
      <c r="V106" s="138" t="s">
        <v>576</v>
      </c>
      <c r="W106" s="9" t="s">
        <v>40</v>
      </c>
      <c r="X106" s="9" t="s">
        <v>345</v>
      </c>
      <c r="Y106" s="9" t="s">
        <v>35</v>
      </c>
      <c r="Z106" s="147">
        <f t="shared" si="5"/>
        <v>7.67</v>
      </c>
      <c r="AA106" s="148" t="str" cm="1">
        <f t="array" ref="AA106">_xlfn.IFS(
    Z106&gt;=9, "A+",
    Z106&gt;=8.5, "A",
    Z106&gt;=8, "B+",
    Z106&gt;=7, "B",
    Z106&gt;=6.5, "C+",
    Z106&gt;=5.5, "C",
    Z106&gt;=5, "D+",
    Z106&gt;=4, "D",
    Z106&lt;4, "F"
)</f>
        <v>B</v>
      </c>
      <c r="AB106" s="1"/>
      <c r="AC106" s="1"/>
      <c r="AD106" s="155" t="s">
        <v>655</v>
      </c>
      <c r="AE106" s="155">
        <v>6</v>
      </c>
      <c r="AF106" s="156">
        <f t="shared" si="7"/>
        <v>8.2191780821917799</v>
      </c>
      <c r="AG106" s="1"/>
      <c r="AH106" s="1"/>
      <c r="AI106" s="1"/>
      <c r="AJ106" s="1"/>
      <c r="AK106" s="1"/>
      <c r="AL106" s="1"/>
      <c r="AM106" s="1"/>
    </row>
    <row r="107" spans="1:39" ht="20.25" customHeight="1" x14ac:dyDescent="0.3">
      <c r="A107" s="1">
        <v>681</v>
      </c>
      <c r="B107" s="6">
        <f>IF(LEN(C107=0),SUBTOTAL(3,$C$10:C107),"")</f>
        <v>25</v>
      </c>
      <c r="C107" s="54" t="s">
        <v>249</v>
      </c>
      <c r="D107" s="55" t="s">
        <v>403</v>
      </c>
      <c r="E107" s="56" t="s">
        <v>402</v>
      </c>
      <c r="F107" s="54" t="s">
        <v>362</v>
      </c>
      <c r="G107" s="57">
        <v>2</v>
      </c>
      <c r="H107" s="57">
        <v>7.5</v>
      </c>
      <c r="I107" s="64" t="s">
        <v>0</v>
      </c>
      <c r="J107" s="57">
        <v>7</v>
      </c>
      <c r="K107" s="10"/>
      <c r="L107" s="68">
        <v>3.7</v>
      </c>
      <c r="M107" s="69" t="str">
        <f>IFERROR(LOOKUP(INT(L107),Sheet1!$A$2:$A$12,Sheet1!$B$2:$B$12)&amp;" phẩy "&amp;(LOOKUP(ROUND(L107-INT(L107),1)*10,Sheet1!$A$2:$A$12,Sheet1!$C$2:$C$12)),"")</f>
        <v>Ba phẩy bảy</v>
      </c>
      <c r="N107" s="41"/>
      <c r="O107" s="20" t="s">
        <v>0</v>
      </c>
      <c r="P107" s="7">
        <f t="shared" si="0"/>
        <v>2.4</v>
      </c>
      <c r="Q107" s="8" t="str">
        <f t="shared" si="1"/>
        <v/>
      </c>
      <c r="R107" s="39" t="str">
        <f t="shared" si="4"/>
        <v>10</v>
      </c>
      <c r="S107" s="8" t="str">
        <f t="shared" si="3"/>
        <v/>
      </c>
      <c r="T107" s="9" t="s">
        <v>36</v>
      </c>
      <c r="U107" s="137" t="s">
        <v>4</v>
      </c>
      <c r="V107" s="138" t="s">
        <v>576</v>
      </c>
      <c r="W107" s="9" t="s">
        <v>40</v>
      </c>
      <c r="X107" s="9" t="s">
        <v>345</v>
      </c>
      <c r="Y107" s="9" t="s">
        <v>35</v>
      </c>
      <c r="Z107" s="147">
        <f t="shared" si="5"/>
        <v>4.57</v>
      </c>
      <c r="AA107" s="148" t="str" cm="1">
        <f t="array" ref="AA107">_xlfn.IFS(
    Z107&gt;=9, "A+",
    Z107&gt;=8.5, "A",
    Z107&gt;=8, "B+",
    Z107&gt;=7, "B",
    Z107&gt;=6.5, "C+",
    Z107&gt;=5.5, "C",
    Z107&gt;=5, "D+",
    Z107&gt;=4, "D",
    Z107&lt;4, "F"
)</f>
        <v>D</v>
      </c>
      <c r="AB107" s="1"/>
      <c r="AC107" s="1"/>
      <c r="AD107" s="155" t="s">
        <v>657</v>
      </c>
      <c r="AE107" s="155">
        <v>2</v>
      </c>
      <c r="AF107" s="156">
        <f t="shared" si="7"/>
        <v>2.7397260273972601</v>
      </c>
      <c r="AG107" s="1"/>
      <c r="AH107" s="1"/>
      <c r="AI107" s="1"/>
      <c r="AJ107" s="1"/>
      <c r="AK107" s="1"/>
      <c r="AL107" s="1"/>
      <c r="AM107" s="1"/>
    </row>
    <row r="108" spans="1:39" ht="20.25" customHeight="1" x14ac:dyDescent="0.3">
      <c r="A108" s="1">
        <v>682</v>
      </c>
      <c r="B108" s="6">
        <f>IF(LEN(C108=0),SUBTOTAL(3,$C$10:C108),"")</f>
        <v>26</v>
      </c>
      <c r="C108" s="54" t="s">
        <v>187</v>
      </c>
      <c r="D108" s="55" t="s">
        <v>404</v>
      </c>
      <c r="E108" s="56" t="s">
        <v>402</v>
      </c>
      <c r="F108" s="54" t="s">
        <v>385</v>
      </c>
      <c r="G108" s="57">
        <v>9</v>
      </c>
      <c r="H108" s="57">
        <v>8.5</v>
      </c>
      <c r="I108" s="64" t="s">
        <v>0</v>
      </c>
      <c r="J108" s="57">
        <v>7.5</v>
      </c>
      <c r="K108" s="10"/>
      <c r="L108" s="68">
        <v>6.7</v>
      </c>
      <c r="M108" s="69" t="str">
        <f>IFERROR(LOOKUP(INT(L108),Sheet1!$A$2:$A$12,Sheet1!$B$2:$B$12)&amp;" phẩy "&amp;(LOOKUP(ROUND(L108-INT(L108),1)*10,Sheet1!$A$2:$A$12,Sheet1!$C$2:$C$12)),"")</f>
        <v>Sáu phẩy bảy</v>
      </c>
      <c r="N108" s="41"/>
      <c r="O108" s="20" t="s">
        <v>0</v>
      </c>
      <c r="P108" s="7">
        <f t="shared" si="0"/>
        <v>3.3</v>
      </c>
      <c r="Q108" s="8" t="str">
        <f t="shared" si="1"/>
        <v/>
      </c>
      <c r="R108" s="39" t="str">
        <f t="shared" si="4"/>
        <v>10</v>
      </c>
      <c r="S108" s="8" t="str">
        <f t="shared" si="3"/>
        <v/>
      </c>
      <c r="T108" s="9" t="s">
        <v>36</v>
      </c>
      <c r="U108" s="137" t="s">
        <v>4</v>
      </c>
      <c r="V108" s="138" t="s">
        <v>576</v>
      </c>
      <c r="W108" s="9" t="s">
        <v>40</v>
      </c>
      <c r="X108" s="9" t="s">
        <v>345</v>
      </c>
      <c r="Y108" s="9" t="s">
        <v>35</v>
      </c>
      <c r="Z108" s="147">
        <f t="shared" si="5"/>
        <v>7.27</v>
      </c>
      <c r="AA108" s="148" t="str" cm="1">
        <f t="array" ref="AA108">_xlfn.IFS(
    Z108&gt;=9, "A+",
    Z108&gt;=8.5, "A",
    Z108&gt;=8, "B+",
    Z108&gt;=7, "B",
    Z108&gt;=6.5, "C+",
    Z108&gt;=5.5, "C",
    Z108&gt;=5, "D+",
    Z108&gt;=4, "D",
    Z108&lt;4, "F"
)</f>
        <v>B</v>
      </c>
      <c r="AB108" s="1"/>
      <c r="AC108" s="1"/>
      <c r="AD108" s="155" t="s">
        <v>656</v>
      </c>
      <c r="AE108" s="155">
        <v>0</v>
      </c>
      <c r="AF108" s="156">
        <f t="shared" si="7"/>
        <v>0</v>
      </c>
      <c r="AG108" s="1"/>
      <c r="AH108" s="1"/>
      <c r="AI108" s="1"/>
      <c r="AJ108" s="1"/>
      <c r="AK108" s="1"/>
      <c r="AL108" s="1"/>
      <c r="AM108" s="1"/>
    </row>
    <row r="109" spans="1:39" ht="20.25" customHeight="1" x14ac:dyDescent="0.3">
      <c r="A109" s="1">
        <v>683</v>
      </c>
      <c r="B109" s="6">
        <f>IF(LEN(C109=0),SUBTOTAL(3,$C$10:C109),"")</f>
        <v>27</v>
      </c>
      <c r="C109" s="54" t="s">
        <v>200</v>
      </c>
      <c r="D109" s="55" t="s">
        <v>405</v>
      </c>
      <c r="E109" s="56" t="s">
        <v>402</v>
      </c>
      <c r="F109" s="54" t="s">
        <v>362</v>
      </c>
      <c r="G109" s="57">
        <v>10</v>
      </c>
      <c r="H109" s="57">
        <v>8</v>
      </c>
      <c r="I109" s="64" t="s">
        <v>0</v>
      </c>
      <c r="J109" s="57">
        <v>7.5</v>
      </c>
      <c r="K109" s="10"/>
      <c r="L109" s="68">
        <v>7.5</v>
      </c>
      <c r="M109" s="69" t="str">
        <f>IFERROR(LOOKUP(INT(L109),Sheet1!$A$2:$A$12,Sheet1!$B$2:$B$12)&amp;" phẩy "&amp;(LOOKUP(ROUND(L109-INT(L109),1)*10,Sheet1!$A$2:$A$12,Sheet1!$C$2:$C$12)),"")</f>
        <v>Bảy phẩy năm</v>
      </c>
      <c r="N109" s="41"/>
      <c r="O109" s="20" t="s">
        <v>0</v>
      </c>
      <c r="P109" s="7">
        <f t="shared" si="0"/>
        <v>3.3</v>
      </c>
      <c r="Q109" s="8" t="str">
        <f t="shared" si="1"/>
        <v/>
      </c>
      <c r="R109" s="39" t="str">
        <f t="shared" si="4"/>
        <v>10</v>
      </c>
      <c r="S109" s="8" t="str">
        <f t="shared" si="3"/>
        <v/>
      </c>
      <c r="T109" s="9" t="s">
        <v>36</v>
      </c>
      <c r="U109" s="137" t="s">
        <v>4</v>
      </c>
      <c r="V109" s="138" t="s">
        <v>576</v>
      </c>
      <c r="W109" s="9" t="s">
        <v>40</v>
      </c>
      <c r="X109" s="9" t="s">
        <v>345</v>
      </c>
      <c r="Y109" s="9" t="s">
        <v>35</v>
      </c>
      <c r="Z109" s="147">
        <f t="shared" si="5"/>
        <v>7.8</v>
      </c>
      <c r="AA109" s="148" t="str" cm="1">
        <f t="array" ref="AA109">_xlfn.IFS(
    Z109&gt;=9, "A+",
    Z109&gt;=8.5, "A",
    Z109&gt;=8, "B+",
    Z109&gt;=7, "B",
    Z109&gt;=6.5, "C+",
    Z109&gt;=5.5, "C",
    Z109&gt;=5, "D+",
    Z109&gt;=4, "D",
    Z109&lt;4, "F"
)</f>
        <v>B</v>
      </c>
      <c r="AB109" s="1"/>
      <c r="AC109" s="1"/>
      <c r="AD109" s="155" t="s">
        <v>658</v>
      </c>
      <c r="AE109" s="155">
        <v>4</v>
      </c>
      <c r="AF109" s="156">
        <f t="shared" si="7"/>
        <v>5.4794520547945202</v>
      </c>
      <c r="AG109" s="1"/>
      <c r="AH109" s="1"/>
      <c r="AI109" s="1"/>
      <c r="AJ109" s="1"/>
      <c r="AK109" s="1"/>
      <c r="AL109" s="1"/>
      <c r="AM109" s="1"/>
    </row>
    <row r="110" spans="1:39" ht="20.25" customHeight="1" x14ac:dyDescent="0.3">
      <c r="A110" s="1">
        <v>684</v>
      </c>
      <c r="B110" s="6">
        <f>IF(LEN(C110=0),SUBTOTAL(3,$C$10:C110),"")</f>
        <v>28</v>
      </c>
      <c r="C110" s="54" t="s">
        <v>194</v>
      </c>
      <c r="D110" s="55" t="s">
        <v>406</v>
      </c>
      <c r="E110" s="56" t="s">
        <v>402</v>
      </c>
      <c r="F110" s="54" t="s">
        <v>366</v>
      </c>
      <c r="G110" s="57">
        <v>10</v>
      </c>
      <c r="H110" s="57">
        <v>8.5</v>
      </c>
      <c r="I110" s="64" t="s">
        <v>0</v>
      </c>
      <c r="J110" s="57">
        <v>7.5</v>
      </c>
      <c r="K110" s="10"/>
      <c r="L110" s="68">
        <v>7.3</v>
      </c>
      <c r="M110" s="69" t="str">
        <f>IFERROR(LOOKUP(INT(L110),Sheet1!$A$2:$A$12,Sheet1!$B$2:$B$12)&amp;" phẩy "&amp;(LOOKUP(ROUND(L110-INT(L110),1)*10,Sheet1!$A$2:$A$12,Sheet1!$C$2:$C$12)),"")</f>
        <v>Bảy phẩy ba</v>
      </c>
      <c r="N110" s="41"/>
      <c r="O110" s="20" t="s">
        <v>0</v>
      </c>
      <c r="P110" s="7">
        <f t="shared" si="0"/>
        <v>3.4</v>
      </c>
      <c r="Q110" s="8" t="str">
        <f t="shared" si="1"/>
        <v/>
      </c>
      <c r="R110" s="39" t="str">
        <f t="shared" si="4"/>
        <v>10</v>
      </c>
      <c r="S110" s="8" t="str">
        <f t="shared" si="3"/>
        <v/>
      </c>
      <c r="T110" s="9" t="s">
        <v>36</v>
      </c>
      <c r="U110" s="137" t="s">
        <v>4</v>
      </c>
      <c r="V110" s="138" t="s">
        <v>576</v>
      </c>
      <c r="W110" s="9" t="s">
        <v>40</v>
      </c>
      <c r="X110" s="9" t="s">
        <v>345</v>
      </c>
      <c r="Y110" s="9" t="s">
        <v>35</v>
      </c>
      <c r="Z110" s="147">
        <f t="shared" si="5"/>
        <v>7.73</v>
      </c>
      <c r="AA110" s="148" t="str" cm="1">
        <f t="array" ref="AA110">_xlfn.IFS(
    Z110&gt;=9, "A+",
    Z110&gt;=8.5, "A",
    Z110&gt;=8, "B+",
    Z110&gt;=7, "B",
    Z110&gt;=6.5, "C+",
    Z110&gt;=5.5, "C",
    Z110&gt;=5, "D+",
    Z110&gt;=4, "D",
    Z110&lt;4, "F"
)</f>
        <v>B</v>
      </c>
      <c r="AB110" s="1"/>
      <c r="AC110" s="1"/>
      <c r="AD110" s="155" t="s">
        <v>662</v>
      </c>
      <c r="AE110" s="155">
        <f>SUM(AE101:AE109)</f>
        <v>73</v>
      </c>
      <c r="AF110" s="155">
        <f>SUM(AF101:AF109)</f>
        <v>99.999999999999986</v>
      </c>
      <c r="AG110" s="1"/>
      <c r="AH110" s="1"/>
      <c r="AI110" s="1"/>
      <c r="AJ110" s="1"/>
      <c r="AK110" s="1"/>
      <c r="AL110" s="1"/>
      <c r="AM110" s="1"/>
    </row>
    <row r="111" spans="1:39" ht="20.25" customHeight="1" x14ac:dyDescent="0.3">
      <c r="A111" s="1">
        <v>685</v>
      </c>
      <c r="B111" s="6">
        <f>IF(LEN(C111=0),SUBTOTAL(3,$C$10:C111),"")</f>
        <v>29</v>
      </c>
      <c r="C111" s="54" t="s">
        <v>144</v>
      </c>
      <c r="D111" s="55" t="s">
        <v>407</v>
      </c>
      <c r="E111" s="56" t="s">
        <v>408</v>
      </c>
      <c r="F111" s="54" t="s">
        <v>372</v>
      </c>
      <c r="G111" s="57">
        <v>10</v>
      </c>
      <c r="H111" s="57">
        <v>8.5</v>
      </c>
      <c r="I111" s="64" t="s">
        <v>0</v>
      </c>
      <c r="J111" s="57">
        <v>8.5</v>
      </c>
      <c r="K111" s="10"/>
      <c r="L111" s="68">
        <v>7.2</v>
      </c>
      <c r="M111" s="69" t="str">
        <f>IFERROR(LOOKUP(INT(L111),Sheet1!$A$2:$A$12,Sheet1!$B$2:$B$12)&amp;" phẩy "&amp;(LOOKUP(ROUND(L111-INT(L111),1)*10,Sheet1!$A$2:$A$12,Sheet1!$C$2:$C$12)),"")</f>
        <v>Bảy phẩy hai</v>
      </c>
      <c r="N111" s="41"/>
      <c r="O111" s="20" t="s">
        <v>0</v>
      </c>
      <c r="P111" s="7">
        <f t="shared" si="0"/>
        <v>3.6</v>
      </c>
      <c r="Q111" s="8" t="str">
        <f t="shared" si="1"/>
        <v/>
      </c>
      <c r="R111" s="39" t="str">
        <f t="shared" si="4"/>
        <v>10</v>
      </c>
      <c r="S111" s="8" t="str">
        <f t="shared" si="3"/>
        <v/>
      </c>
      <c r="T111" s="9" t="s">
        <v>36</v>
      </c>
      <c r="U111" s="137" t="s">
        <v>4</v>
      </c>
      <c r="V111" s="138" t="s">
        <v>576</v>
      </c>
      <c r="W111" s="9" t="s">
        <v>40</v>
      </c>
      <c r="X111" s="9" t="s">
        <v>345</v>
      </c>
      <c r="Y111" s="9" t="s">
        <v>35</v>
      </c>
      <c r="Z111" s="147">
        <f t="shared" si="5"/>
        <v>7.870000000000001</v>
      </c>
      <c r="AA111" s="148" t="str" cm="1">
        <f t="array" ref="AA111">_xlfn.IFS(
    Z111&gt;=9, "A+",
    Z111&gt;=8.5, "A",
    Z111&gt;=8, "B+",
    Z111&gt;=7, "B",
    Z111&gt;=6.5, "C+",
    Z111&gt;=5.5, "C",
    Z111&gt;=5, "D+",
    Z111&gt;=4, "D",
    Z111&lt;4, "F"
)</f>
        <v>B</v>
      </c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ht="20.25" customHeight="1" x14ac:dyDescent="0.3">
      <c r="A112" s="1">
        <v>686</v>
      </c>
      <c r="B112" s="6">
        <f>IF(LEN(C112=0),SUBTOTAL(3,$C$10:C112),"")</f>
        <v>30</v>
      </c>
      <c r="C112" s="54" t="s">
        <v>207</v>
      </c>
      <c r="D112" s="55" t="s">
        <v>409</v>
      </c>
      <c r="E112" s="56" t="s">
        <v>410</v>
      </c>
      <c r="F112" s="54" t="s">
        <v>359</v>
      </c>
      <c r="G112" s="57">
        <v>8</v>
      </c>
      <c r="H112" s="57">
        <v>8.5</v>
      </c>
      <c r="I112" s="64" t="s">
        <v>0</v>
      </c>
      <c r="J112" s="57">
        <v>8.5</v>
      </c>
      <c r="K112" s="10"/>
      <c r="L112" s="68">
        <v>5.5</v>
      </c>
      <c r="M112" s="69" t="str">
        <f>IFERROR(LOOKUP(INT(L112),Sheet1!$A$2:$A$12,Sheet1!$B$2:$B$12)&amp;" phẩy "&amp;(LOOKUP(ROUND(L112-INT(L112),1)*10,Sheet1!$A$2:$A$12,Sheet1!$C$2:$C$12)),"")</f>
        <v>Năm phẩy năm</v>
      </c>
      <c r="N112" s="41"/>
      <c r="O112" s="20" t="s">
        <v>0</v>
      </c>
      <c r="P112" s="7">
        <f t="shared" si="0"/>
        <v>3.4</v>
      </c>
      <c r="Q112" s="8" t="str">
        <f t="shared" si="1"/>
        <v/>
      </c>
      <c r="R112" s="39" t="str">
        <f t="shared" si="4"/>
        <v>10</v>
      </c>
      <c r="S112" s="8" t="str">
        <f t="shared" si="3"/>
        <v/>
      </c>
      <c r="T112" s="9" t="s">
        <v>36</v>
      </c>
      <c r="U112" s="137" t="s">
        <v>4</v>
      </c>
      <c r="V112" s="138" t="s">
        <v>576</v>
      </c>
      <c r="W112" s="9" t="s">
        <v>40</v>
      </c>
      <c r="X112" s="9" t="s">
        <v>345</v>
      </c>
      <c r="Y112" s="9" t="s">
        <v>35</v>
      </c>
      <c r="Z112" s="147">
        <f t="shared" si="5"/>
        <v>6.65</v>
      </c>
      <c r="AA112" s="148" t="str" cm="1">
        <f t="array" ref="AA112">_xlfn.IFS(
    Z112&gt;=9, "A+",
    Z112&gt;=8.5, "A",
    Z112&gt;=8, "B+",
    Z112&gt;=7, "B",
    Z112&gt;=6.5, "C+",
    Z112&gt;=5.5, "C",
    Z112&gt;=5, "D+",
    Z112&gt;=4, "D",
    Z112&lt;4, "F"
)</f>
        <v>C+</v>
      </c>
      <c r="AB112" s="1"/>
      <c r="AC112" s="1" t="s">
        <v>667</v>
      </c>
      <c r="AD112" s="155" t="s">
        <v>659</v>
      </c>
      <c r="AE112" s="155" t="s">
        <v>660</v>
      </c>
      <c r="AF112" s="155" t="s">
        <v>661</v>
      </c>
      <c r="AG112" s="1"/>
      <c r="AH112" s="1"/>
      <c r="AI112" s="1"/>
      <c r="AJ112" s="1"/>
      <c r="AK112" s="1"/>
      <c r="AL112" s="1"/>
      <c r="AM112" s="1"/>
    </row>
    <row r="113" spans="1:39" ht="20.25" customHeight="1" x14ac:dyDescent="0.3">
      <c r="A113" s="1">
        <v>687</v>
      </c>
      <c r="B113" s="6">
        <f>IF(LEN(C113=0),SUBTOTAL(3,$C$10:C113),"")</f>
        <v>31</v>
      </c>
      <c r="C113" s="54" t="s">
        <v>237</v>
      </c>
      <c r="D113" s="55" t="s">
        <v>411</v>
      </c>
      <c r="E113" s="56" t="s">
        <v>412</v>
      </c>
      <c r="F113" s="54" t="s">
        <v>413</v>
      </c>
      <c r="G113" s="57">
        <v>10</v>
      </c>
      <c r="H113" s="57">
        <v>8.5</v>
      </c>
      <c r="I113" s="64" t="s">
        <v>0</v>
      </c>
      <c r="J113" s="57">
        <v>8</v>
      </c>
      <c r="K113" s="10"/>
      <c r="L113" s="68">
        <v>8.5</v>
      </c>
      <c r="M113" s="69" t="str">
        <f>IFERROR(LOOKUP(INT(L113),Sheet1!$A$2:$A$12,Sheet1!$B$2:$B$12)&amp;" phẩy "&amp;(LOOKUP(ROUND(L113-INT(L113),1)*10,Sheet1!$A$2:$A$12,Sheet1!$C$2:$C$12)),"")</f>
        <v>Tám phẩy năm</v>
      </c>
      <c r="N113" s="41"/>
      <c r="O113" s="20" t="s">
        <v>0</v>
      </c>
      <c r="P113" s="7">
        <f t="shared" si="0"/>
        <v>3.5</v>
      </c>
      <c r="Q113" s="8" t="str">
        <f t="shared" si="1"/>
        <v/>
      </c>
      <c r="R113" s="39" t="str">
        <f t="shared" si="4"/>
        <v>10</v>
      </c>
      <c r="S113" s="8" t="str">
        <f t="shared" si="3"/>
        <v/>
      </c>
      <c r="T113" s="9" t="s">
        <v>36</v>
      </c>
      <c r="U113" s="137" t="s">
        <v>4</v>
      </c>
      <c r="V113" s="138" t="s">
        <v>576</v>
      </c>
      <c r="W113" s="9" t="s">
        <v>40</v>
      </c>
      <c r="X113" s="9" t="s">
        <v>345</v>
      </c>
      <c r="Y113" s="9" t="s">
        <v>35</v>
      </c>
      <c r="Z113" s="147">
        <f t="shared" si="5"/>
        <v>8.5500000000000007</v>
      </c>
      <c r="AA113" s="148" t="str" cm="1">
        <f t="array" ref="AA113">_xlfn.IFS(
    Z113&gt;=9, "A+",
    Z113&gt;=8.5, "A",
    Z113&gt;=8, "B+",
    Z113&gt;=7, "B",
    Z113&gt;=6.5, "C+",
    Z113&gt;=5.5, "C",
    Z113&gt;=5, "D+",
    Z113&gt;=4, "D",
    Z113&lt;4, "F"
)</f>
        <v>A</v>
      </c>
      <c r="AB113" s="1"/>
      <c r="AC113" s="1"/>
      <c r="AD113" s="155" t="s">
        <v>650</v>
      </c>
      <c r="AE113" s="155">
        <f>AE85+AE101</f>
        <v>1</v>
      </c>
      <c r="AF113" s="156">
        <f>AE113/146*100</f>
        <v>0.68493150684931503</v>
      </c>
      <c r="AG113" s="1"/>
      <c r="AH113" s="1"/>
      <c r="AI113" s="1"/>
      <c r="AJ113" s="1"/>
      <c r="AK113" s="1"/>
      <c r="AL113" s="1"/>
      <c r="AM113" s="1"/>
    </row>
    <row r="114" spans="1:39" ht="20.25" customHeight="1" x14ac:dyDescent="0.3">
      <c r="A114" s="1">
        <v>688</v>
      </c>
      <c r="B114" s="6">
        <f>IF(LEN(C114=0),SUBTOTAL(3,$C$10:C114),"")</f>
        <v>32</v>
      </c>
      <c r="C114" s="54" t="s">
        <v>238</v>
      </c>
      <c r="D114" s="55" t="s">
        <v>414</v>
      </c>
      <c r="E114" s="56" t="s">
        <v>415</v>
      </c>
      <c r="F114" s="54" t="s">
        <v>359</v>
      </c>
      <c r="G114" s="57">
        <v>9</v>
      </c>
      <c r="H114" s="57">
        <v>8</v>
      </c>
      <c r="I114" s="64" t="s">
        <v>0</v>
      </c>
      <c r="J114" s="57">
        <v>7.5</v>
      </c>
      <c r="K114" s="10"/>
      <c r="L114" s="68">
        <v>7.5</v>
      </c>
      <c r="M114" s="69" t="str">
        <f>IFERROR(LOOKUP(INT(L114),Sheet1!$A$2:$A$12,Sheet1!$B$2:$B$12)&amp;" phẩy "&amp;(LOOKUP(ROUND(L114-INT(L114),1)*10,Sheet1!$A$2:$A$12,Sheet1!$C$2:$C$12)),"")</f>
        <v>Bảy phẩy năm</v>
      </c>
      <c r="N114" s="41"/>
      <c r="O114" s="20" t="s">
        <v>0</v>
      </c>
      <c r="P114" s="7">
        <f t="shared" si="0"/>
        <v>3.2</v>
      </c>
      <c r="Q114" s="8" t="str">
        <f t="shared" si="1"/>
        <v/>
      </c>
      <c r="R114" s="39" t="str">
        <f t="shared" si="4"/>
        <v>10</v>
      </c>
      <c r="S114" s="8" t="str">
        <f t="shared" si="3"/>
        <v/>
      </c>
      <c r="T114" s="9" t="s">
        <v>36</v>
      </c>
      <c r="U114" s="137" t="s">
        <v>4</v>
      </c>
      <c r="V114" s="138" t="s">
        <v>576</v>
      </c>
      <c r="W114" s="9" t="s">
        <v>40</v>
      </c>
      <c r="X114" s="9" t="s">
        <v>345</v>
      </c>
      <c r="Y114" s="9" t="s">
        <v>35</v>
      </c>
      <c r="Z114" s="147">
        <f t="shared" si="5"/>
        <v>7.7</v>
      </c>
      <c r="AA114" s="148" t="str" cm="1">
        <f t="array" ref="AA114">_xlfn.IFS(
    Z114&gt;=9, "A+",
    Z114&gt;=8.5, "A",
    Z114&gt;=8, "B+",
    Z114&gt;=7, "B",
    Z114&gt;=6.5, "C+",
    Z114&gt;=5.5, "C",
    Z114&gt;=5, "D+",
    Z114&gt;=4, "D",
    Z114&lt;4, "F"
)</f>
        <v>B</v>
      </c>
      <c r="AB114" s="1"/>
      <c r="AC114" s="1"/>
      <c r="AD114" s="155" t="s">
        <v>651</v>
      </c>
      <c r="AE114" s="155">
        <f t="shared" ref="AE114:AE121" si="8">AE86+AE102</f>
        <v>21</v>
      </c>
      <c r="AF114" s="156">
        <f t="shared" ref="AF114:AF121" si="9">AE114/146*100</f>
        <v>14.383561643835616</v>
      </c>
      <c r="AG114" s="1"/>
      <c r="AH114" s="1"/>
      <c r="AI114" s="1"/>
      <c r="AJ114" s="1"/>
      <c r="AK114" s="1"/>
      <c r="AL114" s="1"/>
      <c r="AM114" s="1"/>
    </row>
    <row r="115" spans="1:39" ht="20.25" customHeight="1" x14ac:dyDescent="0.3">
      <c r="A115" s="1">
        <v>689</v>
      </c>
      <c r="B115" s="6">
        <f>IF(LEN(C115=0),SUBTOTAL(3,$C$10:C115),"")</f>
        <v>33</v>
      </c>
      <c r="C115" s="54" t="s">
        <v>195</v>
      </c>
      <c r="D115" s="55" t="s">
        <v>416</v>
      </c>
      <c r="E115" s="56" t="s">
        <v>415</v>
      </c>
      <c r="F115" s="54" t="s">
        <v>354</v>
      </c>
      <c r="G115" s="57">
        <v>10</v>
      </c>
      <c r="H115" s="57">
        <v>8</v>
      </c>
      <c r="I115" s="64" t="s">
        <v>0</v>
      </c>
      <c r="J115" s="57">
        <v>8.5</v>
      </c>
      <c r="K115" s="10"/>
      <c r="L115" s="68">
        <v>6.8</v>
      </c>
      <c r="M115" s="69" t="str">
        <f>IFERROR(LOOKUP(INT(L115),Sheet1!$A$2:$A$12,Sheet1!$B$2:$B$12)&amp;" phẩy "&amp;(LOOKUP(ROUND(L115-INT(L115),1)*10,Sheet1!$A$2:$A$12,Sheet1!$C$2:$C$12)),"")</f>
        <v>Sáu phẩy tám</v>
      </c>
      <c r="N115" s="41"/>
      <c r="O115" s="20" t="s">
        <v>0</v>
      </c>
      <c r="P115" s="7">
        <f t="shared" si="0"/>
        <v>3.5</v>
      </c>
      <c r="Q115" s="8" t="str">
        <f t="shared" si="1"/>
        <v/>
      </c>
      <c r="R115" s="39" t="str">
        <f t="shared" si="4"/>
        <v>10</v>
      </c>
      <c r="S115" s="8" t="str">
        <f t="shared" si="3"/>
        <v/>
      </c>
      <c r="T115" s="9" t="s">
        <v>36</v>
      </c>
      <c r="U115" s="137" t="s">
        <v>4</v>
      </c>
      <c r="V115" s="138" t="s">
        <v>576</v>
      </c>
      <c r="W115" s="9" t="s">
        <v>40</v>
      </c>
      <c r="X115" s="9" t="s">
        <v>345</v>
      </c>
      <c r="Y115" s="9" t="s">
        <v>35</v>
      </c>
      <c r="Z115" s="147">
        <f t="shared" si="5"/>
        <v>7.58</v>
      </c>
      <c r="AA115" s="148" t="str" cm="1">
        <f t="array" ref="AA115">_xlfn.IFS(
    Z115&gt;=9, "A+",
    Z115&gt;=8.5, "A",
    Z115&gt;=8, "B+",
    Z115&gt;=7, "B",
    Z115&gt;=6.5, "C+",
    Z115&gt;=5.5, "C",
    Z115&gt;=5, "D+",
    Z115&gt;=4, "D",
    Z115&lt;4, "F"
)</f>
        <v>B</v>
      </c>
      <c r="AB115" s="1"/>
      <c r="AC115" s="1"/>
      <c r="AD115" s="155" t="s">
        <v>652</v>
      </c>
      <c r="AE115" s="155">
        <f t="shared" si="8"/>
        <v>40</v>
      </c>
      <c r="AF115" s="156">
        <f t="shared" si="9"/>
        <v>27.397260273972602</v>
      </c>
      <c r="AG115" s="1"/>
      <c r="AH115" s="1"/>
      <c r="AI115" s="1"/>
      <c r="AJ115" s="1"/>
      <c r="AK115" s="1"/>
      <c r="AL115" s="1"/>
      <c r="AM115" s="1"/>
    </row>
    <row r="116" spans="1:39" ht="20.25" customHeight="1" x14ac:dyDescent="0.3">
      <c r="A116" s="1">
        <v>690</v>
      </c>
      <c r="B116" s="6">
        <f>IF(LEN(C116=0),SUBTOTAL(3,$C$10:C116),"")</f>
        <v>34</v>
      </c>
      <c r="C116" s="54" t="s">
        <v>228</v>
      </c>
      <c r="D116" s="55" t="s">
        <v>417</v>
      </c>
      <c r="E116" s="56" t="s">
        <v>418</v>
      </c>
      <c r="F116" s="54" t="s">
        <v>413</v>
      </c>
      <c r="G116" s="57">
        <v>9</v>
      </c>
      <c r="H116" s="57">
        <v>7.5</v>
      </c>
      <c r="I116" s="64" t="s">
        <v>0</v>
      </c>
      <c r="J116" s="57">
        <v>7</v>
      </c>
      <c r="K116" s="10"/>
      <c r="L116" s="68">
        <v>7.5</v>
      </c>
      <c r="M116" s="69" t="str">
        <f>IFERROR(LOOKUP(INT(L116),Sheet1!$A$2:$A$12,Sheet1!$B$2:$B$12)&amp;" phẩy "&amp;(LOOKUP(ROUND(L116-INT(L116),1)*10,Sheet1!$A$2:$A$12,Sheet1!$C$2:$C$12)),"")</f>
        <v>Bảy phẩy năm</v>
      </c>
      <c r="N116" s="41"/>
      <c r="O116" s="20" t="s">
        <v>0</v>
      </c>
      <c r="P116" s="7">
        <f t="shared" si="0"/>
        <v>3.1</v>
      </c>
      <c r="Q116" s="8" t="str">
        <f t="shared" si="1"/>
        <v/>
      </c>
      <c r="R116" s="39" t="str">
        <f t="shared" si="4"/>
        <v>10</v>
      </c>
      <c r="S116" s="8" t="str">
        <f t="shared" si="3"/>
        <v/>
      </c>
      <c r="T116" s="9" t="s">
        <v>36</v>
      </c>
      <c r="U116" s="137" t="s">
        <v>4</v>
      </c>
      <c r="V116" s="138" t="s">
        <v>576</v>
      </c>
      <c r="W116" s="9" t="s">
        <v>40</v>
      </c>
      <c r="X116" s="9" t="s">
        <v>345</v>
      </c>
      <c r="Y116" s="9" t="s">
        <v>35</v>
      </c>
      <c r="Z116" s="147">
        <f t="shared" si="5"/>
        <v>7.55</v>
      </c>
      <c r="AA116" s="148" t="str" cm="1">
        <f t="array" ref="AA116">_xlfn.IFS(
    Z116&gt;=9, "A+",
    Z116&gt;=8.5, "A",
    Z116&gt;=8, "B+",
    Z116&gt;=7, "B",
    Z116&gt;=6.5, "C+",
    Z116&gt;=5.5, "C",
    Z116&gt;=5, "D+",
    Z116&gt;=4, "D",
    Z116&lt;4, "F"
)</f>
        <v>B</v>
      </c>
      <c r="AB116" s="1"/>
      <c r="AC116" s="1"/>
      <c r="AD116" s="155" t="s">
        <v>653</v>
      </c>
      <c r="AE116" s="155">
        <f t="shared" si="8"/>
        <v>58</v>
      </c>
      <c r="AF116" s="156">
        <f t="shared" si="9"/>
        <v>39.726027397260275</v>
      </c>
      <c r="AG116" s="1"/>
      <c r="AH116" s="1"/>
      <c r="AI116" s="1"/>
      <c r="AJ116" s="1"/>
      <c r="AK116" s="1"/>
      <c r="AL116" s="1"/>
      <c r="AM116" s="1"/>
    </row>
    <row r="117" spans="1:39" ht="20.25" customHeight="1" x14ac:dyDescent="0.3">
      <c r="A117" s="1">
        <v>691</v>
      </c>
      <c r="B117" s="6">
        <f>IF(LEN(C117=0),SUBTOTAL(3,$C$10:C117),"")</f>
        <v>35</v>
      </c>
      <c r="C117" s="54" t="s">
        <v>179</v>
      </c>
      <c r="D117" s="55" t="s">
        <v>419</v>
      </c>
      <c r="E117" s="56" t="s">
        <v>420</v>
      </c>
      <c r="F117" s="54" t="s">
        <v>366</v>
      </c>
      <c r="G117" s="57">
        <v>9</v>
      </c>
      <c r="H117" s="57">
        <v>8.5</v>
      </c>
      <c r="I117" s="64" t="s">
        <v>0</v>
      </c>
      <c r="J117" s="57">
        <v>7.5</v>
      </c>
      <c r="K117" s="10"/>
      <c r="L117" s="68">
        <v>7</v>
      </c>
      <c r="M117" s="69" t="str">
        <f>IFERROR(LOOKUP(INT(L117),Sheet1!$A$2:$A$12,Sheet1!$B$2:$B$12)&amp;" phẩy "&amp;(LOOKUP(ROUND(L117-INT(L117),1)*10,Sheet1!$A$2:$A$12,Sheet1!$C$2:$C$12)),"")</f>
        <v>Bảy phẩy không</v>
      </c>
      <c r="N117" s="41"/>
      <c r="O117" s="20" t="s">
        <v>0</v>
      </c>
      <c r="P117" s="7">
        <f t="shared" si="0"/>
        <v>3.3</v>
      </c>
      <c r="Q117" s="8" t="str">
        <f t="shared" si="1"/>
        <v/>
      </c>
      <c r="R117" s="39" t="str">
        <f t="shared" si="4"/>
        <v>10</v>
      </c>
      <c r="S117" s="8" t="str">
        <f t="shared" si="3"/>
        <v/>
      </c>
      <c r="T117" s="9" t="s">
        <v>36</v>
      </c>
      <c r="U117" s="137" t="s">
        <v>4</v>
      </c>
      <c r="V117" s="138" t="s">
        <v>576</v>
      </c>
      <c r="W117" s="9" t="s">
        <v>40</v>
      </c>
      <c r="X117" s="9" t="s">
        <v>345</v>
      </c>
      <c r="Y117" s="9" t="s">
        <v>35</v>
      </c>
      <c r="Z117" s="147">
        <f t="shared" si="5"/>
        <v>7.45</v>
      </c>
      <c r="AA117" s="148" t="str" cm="1">
        <f t="array" ref="AA117">_xlfn.IFS(
    Z117&gt;=9, "A+",
    Z117&gt;=8.5, "A",
    Z117&gt;=8, "B+",
    Z117&gt;=7, "B",
    Z117&gt;=6.5, "C+",
    Z117&gt;=5.5, "C",
    Z117&gt;=5, "D+",
    Z117&gt;=4, "D",
    Z117&lt;4, "F"
)</f>
        <v>B</v>
      </c>
      <c r="AB117" s="1"/>
      <c r="AC117" s="1"/>
      <c r="AD117" s="155" t="s">
        <v>654</v>
      </c>
      <c r="AE117" s="155">
        <f t="shared" si="8"/>
        <v>8</v>
      </c>
      <c r="AF117" s="156">
        <f t="shared" si="9"/>
        <v>5.4794520547945202</v>
      </c>
      <c r="AG117" s="1"/>
      <c r="AH117" s="1"/>
      <c r="AI117" s="1"/>
      <c r="AJ117" s="1"/>
      <c r="AK117" s="1"/>
      <c r="AL117" s="1"/>
      <c r="AM117" s="1"/>
    </row>
    <row r="118" spans="1:39" ht="20.25" customHeight="1" x14ac:dyDescent="0.3">
      <c r="A118" s="1">
        <v>692</v>
      </c>
      <c r="B118" s="6">
        <f>IF(LEN(C118=0),SUBTOTAL(3,$C$10:C118),"")</f>
        <v>36</v>
      </c>
      <c r="C118" s="54" t="s">
        <v>240</v>
      </c>
      <c r="D118" s="55" t="s">
        <v>421</v>
      </c>
      <c r="E118" s="56" t="s">
        <v>422</v>
      </c>
      <c r="F118" s="54" t="s">
        <v>359</v>
      </c>
      <c r="G118" s="57">
        <v>10</v>
      </c>
      <c r="H118" s="57">
        <v>8</v>
      </c>
      <c r="I118" s="64" t="s">
        <v>0</v>
      </c>
      <c r="J118" s="57">
        <v>7.5</v>
      </c>
      <c r="K118" s="10"/>
      <c r="L118" s="68">
        <v>8.1999999999999993</v>
      </c>
      <c r="M118" s="69" t="str">
        <f>IFERROR(LOOKUP(INT(L118),Sheet1!$A$2:$A$12,Sheet1!$B$2:$B$12)&amp;" phẩy "&amp;(LOOKUP(ROUND(L118-INT(L118),1)*10,Sheet1!$A$2:$A$12,Sheet1!$C$2:$C$12)),"")</f>
        <v>Tám phẩy hai</v>
      </c>
      <c r="N118" s="41"/>
      <c r="O118" s="20" t="s">
        <v>0</v>
      </c>
      <c r="P118" s="7">
        <f t="shared" si="0"/>
        <v>3.3</v>
      </c>
      <c r="Q118" s="8" t="str">
        <f t="shared" si="1"/>
        <v/>
      </c>
      <c r="R118" s="39" t="str">
        <f t="shared" si="4"/>
        <v>10</v>
      </c>
      <c r="S118" s="8" t="str">
        <f t="shared" si="3"/>
        <v/>
      </c>
      <c r="T118" s="9" t="s">
        <v>36</v>
      </c>
      <c r="U118" s="137" t="s">
        <v>4</v>
      </c>
      <c r="V118" s="138" t="s">
        <v>576</v>
      </c>
      <c r="W118" s="9" t="s">
        <v>40</v>
      </c>
      <c r="X118" s="9" t="s">
        <v>345</v>
      </c>
      <c r="Y118" s="9" t="s">
        <v>35</v>
      </c>
      <c r="Z118" s="147">
        <f t="shared" si="5"/>
        <v>8.2199999999999989</v>
      </c>
      <c r="AA118" s="148" t="str" cm="1">
        <f t="array" ref="AA118">_xlfn.IFS(
    Z118&gt;=9, "A+",
    Z118&gt;=8.5, "A",
    Z118&gt;=8, "B+",
    Z118&gt;=7, "B",
    Z118&gt;=6.5, "C+",
    Z118&gt;=5.5, "C",
    Z118&gt;=5, "D+",
    Z118&gt;=4, "D",
    Z118&lt;4, "F"
)</f>
        <v>B+</v>
      </c>
      <c r="AB118" s="1"/>
      <c r="AC118" s="1"/>
      <c r="AD118" s="155" t="s">
        <v>655</v>
      </c>
      <c r="AE118" s="155">
        <f t="shared" si="8"/>
        <v>9</v>
      </c>
      <c r="AF118" s="156">
        <f t="shared" si="9"/>
        <v>6.1643835616438354</v>
      </c>
      <c r="AG118" s="1"/>
      <c r="AH118" s="1"/>
      <c r="AI118" s="1"/>
      <c r="AJ118" s="1"/>
      <c r="AK118" s="1"/>
      <c r="AL118" s="1"/>
      <c r="AM118" s="1"/>
    </row>
    <row r="119" spans="1:39" ht="20.25" customHeight="1" x14ac:dyDescent="0.3">
      <c r="A119" s="1">
        <v>693</v>
      </c>
      <c r="B119" s="6">
        <f>IF(LEN(C119=0),SUBTOTAL(3,$C$10:C119),"")</f>
        <v>37</v>
      </c>
      <c r="C119" s="54" t="s">
        <v>167</v>
      </c>
      <c r="D119" s="55" t="s">
        <v>423</v>
      </c>
      <c r="E119" s="56" t="s">
        <v>424</v>
      </c>
      <c r="F119" s="54" t="s">
        <v>359</v>
      </c>
      <c r="G119" s="57">
        <v>10</v>
      </c>
      <c r="H119" s="57">
        <v>7.5</v>
      </c>
      <c r="I119" s="64" t="s">
        <v>0</v>
      </c>
      <c r="J119" s="57">
        <v>7.5</v>
      </c>
      <c r="K119" s="10"/>
      <c r="L119" s="68">
        <v>7.5</v>
      </c>
      <c r="M119" s="69" t="str">
        <f>IFERROR(LOOKUP(INT(L119),Sheet1!$A$2:$A$12,Sheet1!$B$2:$B$12)&amp;" phẩy "&amp;(LOOKUP(ROUND(L119-INT(L119),1)*10,Sheet1!$A$2:$A$12,Sheet1!$C$2:$C$12)),"")</f>
        <v>Bảy phẩy năm</v>
      </c>
      <c r="N119" s="41"/>
      <c r="O119" s="20" t="s">
        <v>0</v>
      </c>
      <c r="P119" s="7">
        <f t="shared" si="0"/>
        <v>3.3</v>
      </c>
      <c r="Q119" s="8" t="str">
        <f t="shared" si="1"/>
        <v/>
      </c>
      <c r="R119" s="39" t="str">
        <f t="shared" si="4"/>
        <v>10</v>
      </c>
      <c r="S119" s="8" t="str">
        <f t="shared" si="3"/>
        <v/>
      </c>
      <c r="T119" s="9" t="s">
        <v>36</v>
      </c>
      <c r="U119" s="137" t="s">
        <v>4</v>
      </c>
      <c r="V119" s="138" t="s">
        <v>576</v>
      </c>
      <c r="W119" s="9" t="s">
        <v>40</v>
      </c>
      <c r="X119" s="9" t="s">
        <v>345</v>
      </c>
      <c r="Y119" s="9" t="s">
        <v>35</v>
      </c>
      <c r="Z119" s="147">
        <f t="shared" si="5"/>
        <v>7.75</v>
      </c>
      <c r="AA119" s="148" t="str" cm="1">
        <f t="array" ref="AA119">_xlfn.IFS(
    Z119&gt;=9, "A+",
    Z119&gt;=8.5, "A",
    Z119&gt;=8, "B+",
    Z119&gt;=7, "B",
    Z119&gt;=6.5, "C+",
    Z119&gt;=5.5, "C",
    Z119&gt;=5, "D+",
    Z119&gt;=4, "D",
    Z119&lt;4, "F"
)</f>
        <v>B</v>
      </c>
      <c r="AB119" s="1"/>
      <c r="AC119" s="1"/>
      <c r="AD119" s="155" t="s">
        <v>657</v>
      </c>
      <c r="AE119" s="155">
        <f t="shared" si="8"/>
        <v>2</v>
      </c>
      <c r="AF119" s="156">
        <f t="shared" si="9"/>
        <v>1.3698630136986301</v>
      </c>
      <c r="AG119" s="1"/>
      <c r="AH119" s="1"/>
      <c r="AI119" s="1"/>
      <c r="AJ119" s="1"/>
      <c r="AK119" s="1"/>
      <c r="AL119" s="1"/>
      <c r="AM119" s="1"/>
    </row>
    <row r="120" spans="1:39" ht="20.25" customHeight="1" x14ac:dyDescent="0.3">
      <c r="A120" s="1">
        <v>694</v>
      </c>
      <c r="B120" s="6">
        <f>IF(LEN(C120=0),SUBTOTAL(3,$C$10:C120),"")</f>
        <v>38</v>
      </c>
      <c r="C120" s="54" t="s">
        <v>138</v>
      </c>
      <c r="D120" s="55" t="s">
        <v>425</v>
      </c>
      <c r="E120" s="56" t="s">
        <v>424</v>
      </c>
      <c r="F120" s="54" t="s">
        <v>400</v>
      </c>
      <c r="G120" s="57">
        <v>10</v>
      </c>
      <c r="H120" s="57">
        <v>7.5</v>
      </c>
      <c r="I120" s="64" t="s">
        <v>0</v>
      </c>
      <c r="J120" s="57">
        <v>7</v>
      </c>
      <c r="K120" s="10"/>
      <c r="L120" s="68">
        <v>7.3</v>
      </c>
      <c r="M120" s="69" t="str">
        <f>IFERROR(LOOKUP(INT(L120),Sheet1!$A$2:$A$12,Sheet1!$B$2:$B$12)&amp;" phẩy "&amp;(LOOKUP(ROUND(L120-INT(L120),1)*10,Sheet1!$A$2:$A$12,Sheet1!$C$2:$C$12)),"")</f>
        <v>Bảy phẩy ba</v>
      </c>
      <c r="N120" s="41"/>
      <c r="O120" s="20" t="s">
        <v>0</v>
      </c>
      <c r="P120" s="7">
        <f t="shared" si="0"/>
        <v>3.2</v>
      </c>
      <c r="Q120" s="8" t="str">
        <f t="shared" si="1"/>
        <v/>
      </c>
      <c r="R120" s="39" t="str">
        <f t="shared" si="4"/>
        <v>10</v>
      </c>
      <c r="S120" s="8" t="str">
        <f t="shared" si="3"/>
        <v/>
      </c>
      <c r="T120" s="9" t="s">
        <v>1</v>
      </c>
      <c r="U120" s="137" t="s">
        <v>4</v>
      </c>
      <c r="V120" s="138" t="s">
        <v>576</v>
      </c>
      <c r="W120" s="9" t="s">
        <v>41</v>
      </c>
      <c r="X120" s="9" t="s">
        <v>345</v>
      </c>
      <c r="Y120" s="9" t="s">
        <v>35</v>
      </c>
      <c r="Z120" s="147">
        <f t="shared" si="5"/>
        <v>7.53</v>
      </c>
      <c r="AA120" s="148" t="str" cm="1">
        <f t="array" ref="AA120">_xlfn.IFS(
    Z120&gt;=9, "A+",
    Z120&gt;=8.5, "A",
    Z120&gt;=8, "B+",
    Z120&gt;=7, "B",
    Z120&gt;=6.5, "C+",
    Z120&gt;=5.5, "C",
    Z120&gt;=5, "D+",
    Z120&gt;=4, "D",
    Z120&lt;4, "F"
)</f>
        <v>B</v>
      </c>
      <c r="AB120" s="1"/>
      <c r="AC120" s="1"/>
      <c r="AD120" s="155" t="s">
        <v>656</v>
      </c>
      <c r="AE120" s="155">
        <f t="shared" si="8"/>
        <v>2</v>
      </c>
      <c r="AF120" s="156">
        <f t="shared" si="9"/>
        <v>1.3698630136986301</v>
      </c>
      <c r="AG120" s="1"/>
      <c r="AH120" s="1"/>
      <c r="AI120" s="1"/>
      <c r="AJ120" s="1"/>
      <c r="AK120" s="1"/>
      <c r="AL120" s="1"/>
      <c r="AM120" s="1"/>
    </row>
    <row r="121" spans="1:39" ht="20.25" customHeight="1" x14ac:dyDescent="0.3">
      <c r="A121" s="1">
        <v>695</v>
      </c>
      <c r="B121" s="6">
        <f>IF(LEN(C121=0),SUBTOTAL(3,$C$10:C121),"")</f>
        <v>39</v>
      </c>
      <c r="C121" s="54" t="s">
        <v>129</v>
      </c>
      <c r="D121" s="55" t="s">
        <v>426</v>
      </c>
      <c r="E121" s="56" t="s">
        <v>424</v>
      </c>
      <c r="F121" s="54" t="s">
        <v>364</v>
      </c>
      <c r="G121" s="57">
        <v>9</v>
      </c>
      <c r="H121" s="57">
        <v>8</v>
      </c>
      <c r="I121" s="64" t="s">
        <v>0</v>
      </c>
      <c r="J121" s="57">
        <v>8.5</v>
      </c>
      <c r="K121" s="10"/>
      <c r="L121" s="68">
        <v>8.1999999999999993</v>
      </c>
      <c r="M121" s="69" t="str">
        <f>IFERROR(LOOKUP(INT(L121),Sheet1!$A$2:$A$12,Sheet1!$B$2:$B$12)&amp;" phẩy "&amp;(LOOKUP(ROUND(L121-INT(L121),1)*10,Sheet1!$A$2:$A$12,Sheet1!$C$2:$C$12)),"")</f>
        <v>Tám phẩy hai</v>
      </c>
      <c r="N121" s="41"/>
      <c r="O121" s="20" t="s">
        <v>0</v>
      </c>
      <c r="P121" s="7">
        <f t="shared" si="0"/>
        <v>3.4</v>
      </c>
      <c r="Q121" s="8" t="str">
        <f t="shared" si="1"/>
        <v/>
      </c>
      <c r="R121" s="39" t="str">
        <f t="shared" si="4"/>
        <v>10</v>
      </c>
      <c r="S121" s="8" t="str">
        <f t="shared" si="3"/>
        <v/>
      </c>
      <c r="T121" s="9" t="s">
        <v>1</v>
      </c>
      <c r="U121" s="137" t="s">
        <v>4</v>
      </c>
      <c r="V121" s="138" t="s">
        <v>576</v>
      </c>
      <c r="W121" s="9" t="s">
        <v>41</v>
      </c>
      <c r="X121" s="9" t="s">
        <v>345</v>
      </c>
      <c r="Y121" s="9" t="s">
        <v>35</v>
      </c>
      <c r="Z121" s="147">
        <f t="shared" si="5"/>
        <v>8.32</v>
      </c>
      <c r="AA121" s="148" t="str" cm="1">
        <f t="array" ref="AA121">_xlfn.IFS(
    Z121&gt;=9, "A+",
    Z121&gt;=8.5, "A",
    Z121&gt;=8, "B+",
    Z121&gt;=7, "B",
    Z121&gt;=6.5, "C+",
    Z121&gt;=5.5, "C",
    Z121&gt;=5, "D+",
    Z121&gt;=4, "D",
    Z121&lt;4, "F"
)</f>
        <v>B+</v>
      </c>
      <c r="AB121" s="1"/>
      <c r="AC121" s="1"/>
      <c r="AD121" s="155" t="s">
        <v>658</v>
      </c>
      <c r="AE121" s="155">
        <f t="shared" si="8"/>
        <v>5</v>
      </c>
      <c r="AF121" s="156">
        <f t="shared" si="9"/>
        <v>3.4246575342465753</v>
      </c>
      <c r="AG121" s="1"/>
      <c r="AH121" s="1"/>
      <c r="AI121" s="1"/>
      <c r="AJ121" s="1"/>
      <c r="AK121" s="1"/>
      <c r="AL121" s="1"/>
      <c r="AM121" s="1"/>
    </row>
    <row r="122" spans="1:39" ht="20.25" customHeight="1" x14ac:dyDescent="0.3">
      <c r="A122" s="1">
        <v>696</v>
      </c>
      <c r="B122" s="6">
        <f>IF(LEN(C122=0),SUBTOTAL(3,$C$10:C122),"")</f>
        <v>40</v>
      </c>
      <c r="C122" s="54" t="s">
        <v>121</v>
      </c>
      <c r="D122" s="55" t="s">
        <v>427</v>
      </c>
      <c r="E122" s="56" t="s">
        <v>428</v>
      </c>
      <c r="F122" s="54" t="s">
        <v>354</v>
      </c>
      <c r="G122" s="57">
        <v>9</v>
      </c>
      <c r="H122" s="57">
        <v>8.5</v>
      </c>
      <c r="I122" s="64" t="s">
        <v>0</v>
      </c>
      <c r="J122" s="57">
        <v>8.5</v>
      </c>
      <c r="K122" s="10"/>
      <c r="L122" s="68">
        <v>7.5</v>
      </c>
      <c r="M122" s="69" t="str">
        <f>IFERROR(LOOKUP(INT(L122),Sheet1!$A$2:$A$12,Sheet1!$B$2:$B$12)&amp;" phẩy "&amp;(LOOKUP(ROUND(L122-INT(L122),1)*10,Sheet1!$A$2:$A$12,Sheet1!$C$2:$C$12)),"")</f>
        <v>Bảy phẩy năm</v>
      </c>
      <c r="N122" s="41"/>
      <c r="O122" s="20" t="s">
        <v>0</v>
      </c>
      <c r="P122" s="7">
        <f t="shared" si="0"/>
        <v>3.5</v>
      </c>
      <c r="Q122" s="8" t="str">
        <f t="shared" si="1"/>
        <v/>
      </c>
      <c r="R122" s="39" t="str">
        <f t="shared" si="4"/>
        <v>10</v>
      </c>
      <c r="S122" s="8" t="str">
        <f t="shared" si="3"/>
        <v/>
      </c>
      <c r="T122" s="9" t="s">
        <v>1</v>
      </c>
      <c r="U122" s="137" t="s">
        <v>4</v>
      </c>
      <c r="V122" s="138" t="s">
        <v>576</v>
      </c>
      <c r="W122" s="9" t="s">
        <v>41</v>
      </c>
      <c r="X122" s="9" t="s">
        <v>345</v>
      </c>
      <c r="Y122" s="9" t="s">
        <v>35</v>
      </c>
      <c r="Z122" s="147">
        <f t="shared" si="5"/>
        <v>7.95</v>
      </c>
      <c r="AA122" s="148" t="s">
        <v>652</v>
      </c>
      <c r="AB122" s="1"/>
      <c r="AC122" s="1"/>
      <c r="AD122" s="155" t="s">
        <v>662</v>
      </c>
      <c r="AE122" s="155">
        <f>SUM(AE113:AE121)</f>
        <v>146</v>
      </c>
      <c r="AF122" s="155">
        <f>SUM(AF113:AF121)</f>
        <v>100</v>
      </c>
      <c r="AG122" s="1"/>
      <c r="AH122" s="1"/>
      <c r="AI122" s="1"/>
      <c r="AJ122" s="1"/>
      <c r="AK122" s="1"/>
      <c r="AL122" s="1"/>
      <c r="AM122" s="1"/>
    </row>
    <row r="123" spans="1:39" ht="20.25" customHeight="1" x14ac:dyDescent="0.3">
      <c r="A123" s="1">
        <v>697</v>
      </c>
      <c r="B123" s="6">
        <f>IF(LEN(C123=0),SUBTOTAL(3,$C$10:C123),"")</f>
        <v>41</v>
      </c>
      <c r="C123" s="54" t="s">
        <v>122</v>
      </c>
      <c r="D123" s="55" t="s">
        <v>429</v>
      </c>
      <c r="E123" s="56" t="s">
        <v>428</v>
      </c>
      <c r="F123" s="54" t="s">
        <v>366</v>
      </c>
      <c r="G123" s="57">
        <v>10</v>
      </c>
      <c r="H123" s="57">
        <v>8.5</v>
      </c>
      <c r="I123" s="64" t="s">
        <v>0</v>
      </c>
      <c r="J123" s="57">
        <v>8.5</v>
      </c>
      <c r="K123" s="10"/>
      <c r="L123" s="68">
        <v>8.3000000000000007</v>
      </c>
      <c r="M123" s="69" t="str">
        <f>IFERROR(LOOKUP(INT(L123),Sheet1!$A$2:$A$12,Sheet1!$B$2:$B$12)&amp;" phẩy "&amp;(LOOKUP(ROUND(L123-INT(L123),1)*10,Sheet1!$A$2:$A$12,Sheet1!$C$2:$C$12)),"")</f>
        <v>Tám phẩy ba</v>
      </c>
      <c r="N123" s="41"/>
      <c r="O123" s="20" t="s">
        <v>0</v>
      </c>
      <c r="P123" s="7">
        <f t="shared" si="0"/>
        <v>3.6</v>
      </c>
      <c r="Q123" s="8" t="str">
        <f t="shared" si="1"/>
        <v/>
      </c>
      <c r="R123" s="39" t="str">
        <f t="shared" si="4"/>
        <v>10</v>
      </c>
      <c r="S123" s="8" t="str">
        <f t="shared" si="3"/>
        <v/>
      </c>
      <c r="T123" s="9" t="s">
        <v>1</v>
      </c>
      <c r="U123" s="137" t="s">
        <v>4</v>
      </c>
      <c r="V123" s="138" t="s">
        <v>576</v>
      </c>
      <c r="W123" s="9" t="s">
        <v>41</v>
      </c>
      <c r="X123" s="9" t="s">
        <v>345</v>
      </c>
      <c r="Y123" s="9" t="s">
        <v>35</v>
      </c>
      <c r="Z123" s="147">
        <f t="shared" si="5"/>
        <v>8.5300000000000011</v>
      </c>
      <c r="AA123" s="148" t="str" cm="1">
        <f t="array" ref="AA123">_xlfn.IFS(
    Z123&gt;=9, "A+",
    Z123&gt;=8.5, "A",
    Z123&gt;=8, "B+",
    Z123&gt;=7, "B",
    Z123&gt;=6.5, "C+",
    Z123&gt;=5.5, "C",
    Z123&gt;=5, "D+",
    Z123&gt;=4, "D",
    Z123&lt;4, "F"
)</f>
        <v>A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ht="20.25" customHeight="1" x14ac:dyDescent="0.3">
      <c r="A124" s="1">
        <v>698</v>
      </c>
      <c r="B124" s="6">
        <f>IF(LEN(C124=0),SUBTOTAL(3,$C$10:C124),"")</f>
        <v>42</v>
      </c>
      <c r="C124" s="54" t="s">
        <v>208</v>
      </c>
      <c r="D124" s="55" t="s">
        <v>430</v>
      </c>
      <c r="E124" s="56" t="s">
        <v>431</v>
      </c>
      <c r="F124" s="54" t="s">
        <v>372</v>
      </c>
      <c r="G124" s="57">
        <v>10</v>
      </c>
      <c r="H124" s="57">
        <v>8.5</v>
      </c>
      <c r="I124" s="64" t="s">
        <v>0</v>
      </c>
      <c r="J124" s="57">
        <v>8.5</v>
      </c>
      <c r="K124" s="10"/>
      <c r="L124" s="68">
        <v>6.8</v>
      </c>
      <c r="M124" s="69" t="str">
        <f>IFERROR(LOOKUP(INT(L124),Sheet1!$A$2:$A$12,Sheet1!$B$2:$B$12)&amp;" phẩy "&amp;(LOOKUP(ROUND(L124-INT(L124),1)*10,Sheet1!$A$2:$A$12,Sheet1!$C$2:$C$12)),"")</f>
        <v>Sáu phẩy tám</v>
      </c>
      <c r="N124" s="41"/>
      <c r="O124" s="20" t="s">
        <v>0</v>
      </c>
      <c r="P124" s="7">
        <f t="shared" si="0"/>
        <v>3.6</v>
      </c>
      <c r="Q124" s="8" t="str">
        <f t="shared" si="1"/>
        <v/>
      </c>
      <c r="R124" s="39" t="str">
        <f t="shared" si="4"/>
        <v>10</v>
      </c>
      <c r="S124" s="8" t="str">
        <f t="shared" si="3"/>
        <v/>
      </c>
      <c r="T124" s="9" t="s">
        <v>1</v>
      </c>
      <c r="U124" s="137" t="s">
        <v>4</v>
      </c>
      <c r="V124" s="138" t="s">
        <v>576</v>
      </c>
      <c r="W124" s="9" t="s">
        <v>41</v>
      </c>
      <c r="X124" s="9" t="s">
        <v>345</v>
      </c>
      <c r="Y124" s="9" t="s">
        <v>35</v>
      </c>
      <c r="Z124" s="147">
        <f t="shared" si="5"/>
        <v>7.6300000000000008</v>
      </c>
      <c r="AA124" s="148" t="str" cm="1">
        <f t="array" ref="AA124">_xlfn.IFS(
    Z124&gt;=9, "A+",
    Z124&gt;=8.5, "A",
    Z124&gt;=8, "B+",
    Z124&gt;=7, "B",
    Z124&gt;=6.5, "C+",
    Z124&gt;=5.5, "C",
    Z124&gt;=5, "D+",
    Z124&gt;=4, "D",
    Z124&lt;4, "F"
)</f>
        <v>B</v>
      </c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ht="20.25" customHeight="1" x14ac:dyDescent="0.3">
      <c r="A125" s="1">
        <v>699</v>
      </c>
      <c r="B125" s="6">
        <f>IF(LEN(C125=0),SUBTOTAL(3,$C$10:C125),"")</f>
        <v>43</v>
      </c>
      <c r="C125" s="54" t="s">
        <v>95</v>
      </c>
      <c r="D125" s="55" t="s">
        <v>432</v>
      </c>
      <c r="E125" s="56" t="s">
        <v>433</v>
      </c>
      <c r="F125" s="54" t="s">
        <v>356</v>
      </c>
      <c r="G125" s="57">
        <v>10</v>
      </c>
      <c r="H125" s="57">
        <v>8.5</v>
      </c>
      <c r="I125" s="64" t="s">
        <v>0</v>
      </c>
      <c r="J125" s="57">
        <v>8.5</v>
      </c>
      <c r="K125" s="10"/>
      <c r="L125" s="68">
        <v>6.3</v>
      </c>
      <c r="M125" s="69" t="str">
        <f>IFERROR(LOOKUP(INT(L125),Sheet1!$A$2:$A$12,Sheet1!$B$2:$B$12)&amp;" phẩy "&amp;(LOOKUP(ROUND(L125-INT(L125),1)*10,Sheet1!$A$2:$A$12,Sheet1!$C$2:$C$12)),"")</f>
        <v>Sáu phẩy ba</v>
      </c>
      <c r="N125" s="41"/>
      <c r="O125" s="20" t="s">
        <v>0</v>
      </c>
      <c r="P125" s="7">
        <f t="shared" si="0"/>
        <v>3.6</v>
      </c>
      <c r="Q125" s="8" t="str">
        <f t="shared" si="1"/>
        <v/>
      </c>
      <c r="R125" s="39" t="str">
        <f t="shared" si="4"/>
        <v>10</v>
      </c>
      <c r="S125" s="8" t="str">
        <f t="shared" si="3"/>
        <v/>
      </c>
      <c r="T125" s="9" t="s">
        <v>1</v>
      </c>
      <c r="U125" s="137" t="s">
        <v>4</v>
      </c>
      <c r="V125" s="138" t="s">
        <v>576</v>
      </c>
      <c r="W125" s="9" t="s">
        <v>41</v>
      </c>
      <c r="X125" s="9" t="s">
        <v>345</v>
      </c>
      <c r="Y125" s="9" t="s">
        <v>35</v>
      </c>
      <c r="Z125" s="147">
        <f t="shared" si="5"/>
        <v>7.33</v>
      </c>
      <c r="AA125" s="148" t="str" cm="1">
        <f t="array" ref="AA125">_xlfn.IFS(
    Z125&gt;=9, "A+",
    Z125&gt;=8.5, "A",
    Z125&gt;=8, "B+",
    Z125&gt;=7, "B",
    Z125&gt;=6.5, "C+",
    Z125&gt;=5.5, "C",
    Z125&gt;=5, "D+",
    Z125&gt;=4, "D",
    Z125&lt;4, "F"
)</f>
        <v>B</v>
      </c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ht="20.25" customHeight="1" x14ac:dyDescent="0.3">
      <c r="A126" s="1">
        <v>700</v>
      </c>
      <c r="B126" s="6">
        <f>IF(LEN(C126=0),SUBTOTAL(3,$C$10:C126),"")</f>
        <v>44</v>
      </c>
      <c r="C126" s="54" t="s">
        <v>104</v>
      </c>
      <c r="D126" s="55" t="s">
        <v>434</v>
      </c>
      <c r="E126" s="56" t="s">
        <v>435</v>
      </c>
      <c r="F126" s="54" t="s">
        <v>354</v>
      </c>
      <c r="G126" s="57">
        <v>10</v>
      </c>
      <c r="H126" s="57">
        <v>8</v>
      </c>
      <c r="I126" s="64" t="s">
        <v>0</v>
      </c>
      <c r="J126" s="57">
        <v>8.5</v>
      </c>
      <c r="K126" s="10"/>
      <c r="L126" s="68">
        <v>4.5</v>
      </c>
      <c r="M126" s="69" t="str">
        <f>IFERROR(LOOKUP(INT(L126),Sheet1!$A$2:$A$12,Sheet1!$B$2:$B$12)&amp;" phẩy "&amp;(LOOKUP(ROUND(L126-INT(L126),1)*10,Sheet1!$A$2:$A$12,Sheet1!$C$2:$C$12)),"")</f>
        <v>Bốn phẩy năm</v>
      </c>
      <c r="N126" s="41"/>
      <c r="O126" s="20" t="s">
        <v>0</v>
      </c>
      <c r="P126" s="7">
        <f t="shared" si="0"/>
        <v>3.5</v>
      </c>
      <c r="Q126" s="8" t="str">
        <f t="shared" si="1"/>
        <v/>
      </c>
      <c r="R126" s="39" t="str">
        <f t="shared" si="4"/>
        <v>10</v>
      </c>
      <c r="S126" s="8" t="str">
        <f t="shared" si="3"/>
        <v/>
      </c>
      <c r="T126" s="9" t="s">
        <v>1</v>
      </c>
      <c r="U126" s="137" t="s">
        <v>4</v>
      </c>
      <c r="V126" s="138" t="s">
        <v>576</v>
      </c>
      <c r="W126" s="9" t="s">
        <v>41</v>
      </c>
      <c r="X126" s="9" t="s">
        <v>345</v>
      </c>
      <c r="Y126" s="9" t="s">
        <v>35</v>
      </c>
      <c r="Z126" s="147">
        <f t="shared" si="5"/>
        <v>6.1999999999999993</v>
      </c>
      <c r="AA126" s="148" t="str" cm="1">
        <f t="array" ref="AA126">_xlfn.IFS(
    Z126&gt;=9, "A+",
    Z126&gt;=8.5, "A",
    Z126&gt;=8, "B+",
    Z126&gt;=7, "B",
    Z126&gt;=6.5, "C+",
    Z126&gt;=5.5, "C",
    Z126&gt;=5, "D+",
    Z126&gt;=4, "D",
    Z126&lt;4, "F"
)</f>
        <v>C</v>
      </c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ht="20.25" customHeight="1" x14ac:dyDescent="0.3">
      <c r="A127" s="1">
        <v>701</v>
      </c>
      <c r="B127" s="6">
        <f>IF(LEN(C127=0),SUBTOTAL(3,$C$10:C127),"")</f>
        <v>45</v>
      </c>
      <c r="C127" s="54" t="s">
        <v>210</v>
      </c>
      <c r="D127" s="55" t="s">
        <v>436</v>
      </c>
      <c r="E127" s="56" t="s">
        <v>437</v>
      </c>
      <c r="F127" s="54" t="s">
        <v>372</v>
      </c>
      <c r="G127" s="57">
        <v>10</v>
      </c>
      <c r="H127" s="57">
        <v>8.5</v>
      </c>
      <c r="I127" s="64" t="s">
        <v>0</v>
      </c>
      <c r="J127" s="57">
        <v>8.5</v>
      </c>
      <c r="K127" s="10"/>
      <c r="L127" s="68">
        <v>7.2</v>
      </c>
      <c r="M127" s="69" t="str">
        <f>IFERROR(LOOKUP(INT(L127),Sheet1!$A$2:$A$12,Sheet1!$B$2:$B$12)&amp;" phẩy "&amp;(LOOKUP(ROUND(L127-INT(L127),1)*10,Sheet1!$A$2:$A$12,Sheet1!$C$2:$C$12)),"")</f>
        <v>Bảy phẩy hai</v>
      </c>
      <c r="N127" s="41"/>
      <c r="O127" s="20" t="s">
        <v>0</v>
      </c>
      <c r="P127" s="7">
        <f t="shared" si="0"/>
        <v>3.6</v>
      </c>
      <c r="Q127" s="8" t="str">
        <f t="shared" si="1"/>
        <v/>
      </c>
      <c r="R127" s="39" t="str">
        <f t="shared" si="4"/>
        <v>10</v>
      </c>
      <c r="S127" s="8" t="str">
        <f t="shared" si="3"/>
        <v/>
      </c>
      <c r="T127" s="9" t="s">
        <v>1</v>
      </c>
      <c r="U127" s="137" t="s">
        <v>4</v>
      </c>
      <c r="V127" s="138" t="s">
        <v>576</v>
      </c>
      <c r="W127" s="9" t="s">
        <v>41</v>
      </c>
      <c r="X127" s="9" t="s">
        <v>345</v>
      </c>
      <c r="Y127" s="9" t="s">
        <v>35</v>
      </c>
      <c r="Z127" s="147">
        <f t="shared" si="5"/>
        <v>7.870000000000001</v>
      </c>
      <c r="AA127" s="148" t="str" cm="1">
        <f t="array" ref="AA127">_xlfn.IFS(
    Z127&gt;=9, "A+",
    Z127&gt;=8.5, "A",
    Z127&gt;=8, "B+",
    Z127&gt;=7, "B",
    Z127&gt;=6.5, "C+",
    Z127&gt;=5.5, "C",
    Z127&gt;=5, "D+",
    Z127&gt;=4, "D",
    Z127&lt;4, "F"
)</f>
        <v>B</v>
      </c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ht="20.25" customHeight="1" x14ac:dyDescent="0.3">
      <c r="A128" s="1">
        <v>702</v>
      </c>
      <c r="B128" s="6">
        <f>IF(LEN(C128=0),SUBTOTAL(3,$C$10:C128),"")</f>
        <v>46</v>
      </c>
      <c r="C128" s="54" t="s">
        <v>105</v>
      </c>
      <c r="D128" s="55" t="s">
        <v>438</v>
      </c>
      <c r="E128" s="56" t="s">
        <v>439</v>
      </c>
      <c r="F128" s="54" t="s">
        <v>356</v>
      </c>
      <c r="G128" s="57">
        <v>8</v>
      </c>
      <c r="H128" s="57">
        <v>8.5</v>
      </c>
      <c r="I128" s="64" t="s">
        <v>0</v>
      </c>
      <c r="J128" s="57">
        <v>8.5</v>
      </c>
      <c r="K128" s="10"/>
      <c r="L128" s="68">
        <v>8.8000000000000007</v>
      </c>
      <c r="M128" s="69" t="str">
        <f>IFERROR(LOOKUP(INT(L128),Sheet1!$A$2:$A$12,Sheet1!$B$2:$B$12)&amp;" phẩy "&amp;(LOOKUP(ROUND(L128-INT(L128),1)*10,Sheet1!$A$2:$A$12,Sheet1!$C$2:$C$12)),"")</f>
        <v>Tám phẩy tám</v>
      </c>
      <c r="N128" s="41"/>
      <c r="O128" s="20" t="s">
        <v>0</v>
      </c>
      <c r="P128" s="7">
        <f t="shared" si="0"/>
        <v>3.4</v>
      </c>
      <c r="Q128" s="8" t="str">
        <f t="shared" si="1"/>
        <v/>
      </c>
      <c r="R128" s="39" t="str">
        <f t="shared" si="4"/>
        <v>10</v>
      </c>
      <c r="S128" s="8" t="str">
        <f t="shared" si="3"/>
        <v/>
      </c>
      <c r="T128" s="9" t="s">
        <v>1</v>
      </c>
      <c r="U128" s="137" t="s">
        <v>4</v>
      </c>
      <c r="V128" s="138" t="s">
        <v>576</v>
      </c>
      <c r="W128" s="9" t="s">
        <v>41</v>
      </c>
      <c r="X128" s="9" t="s">
        <v>345</v>
      </c>
      <c r="Y128" s="9" t="s">
        <v>35</v>
      </c>
      <c r="Z128" s="147">
        <f t="shared" si="5"/>
        <v>8.6300000000000008</v>
      </c>
      <c r="AA128" s="148" t="str" cm="1">
        <f t="array" ref="AA128">_xlfn.IFS(
    Z128&gt;=9, "A+",
    Z128&gt;=8.5, "A",
    Z128&gt;=8, "B+",
    Z128&gt;=7, "B",
    Z128&gt;=6.5, "C+",
    Z128&gt;=5.5, "C",
    Z128&gt;=5, "D+",
    Z128&gt;=4, "D",
    Z128&lt;4, "F"
)</f>
        <v>A</v>
      </c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ht="20.25" customHeight="1" x14ac:dyDescent="0.3">
      <c r="A129" s="1">
        <v>703</v>
      </c>
      <c r="B129" s="6">
        <f>IF(LEN(C129=0),SUBTOTAL(3,$C$10:C129),"")</f>
        <v>47</v>
      </c>
      <c r="C129" s="54" t="s">
        <v>116</v>
      </c>
      <c r="D129" s="55" t="s">
        <v>440</v>
      </c>
      <c r="E129" s="56" t="s">
        <v>441</v>
      </c>
      <c r="F129" s="54" t="s">
        <v>359</v>
      </c>
      <c r="G129" s="57">
        <v>9.5</v>
      </c>
      <c r="H129" s="57">
        <v>7.5</v>
      </c>
      <c r="I129" s="64" t="s">
        <v>0</v>
      </c>
      <c r="J129" s="57">
        <v>7.5</v>
      </c>
      <c r="K129" s="10"/>
      <c r="L129" s="68">
        <v>6.5</v>
      </c>
      <c r="M129" s="69" t="str">
        <f>IFERROR(LOOKUP(INT(L129),Sheet1!$A$2:$A$12,Sheet1!$B$2:$B$12)&amp;" phẩy "&amp;(LOOKUP(ROUND(L129-INT(L129),1)*10,Sheet1!$A$2:$A$12,Sheet1!$C$2:$C$12)),"")</f>
        <v>Sáu phẩy năm</v>
      </c>
      <c r="N129" s="41"/>
      <c r="O129" s="20" t="s">
        <v>0</v>
      </c>
      <c r="P129" s="7">
        <f t="shared" ref="P129:P155" si="10">IF(O129="H","I",IF(OR(O129="DC",O129="C",O129="V"),0,ROUND(SUMPRODUCT(G129:O129,$G$9:$O$9)/100,1)))</f>
        <v>3.2</v>
      </c>
      <c r="Q129" s="8" t="str">
        <f t="shared" ref="Q129:Q155" si="11">IF(OR($G129=0,$H129=0,$I129=0,$J129=0,$S129="Nợ HP"),"Không đủ ĐKDT",IF(AND(O129=0,P129&gt;=4),"Không đạt",IF(O129="V", "Vắng", IF(O129="DC", "Đình chỉ thi",IF(O129="H", "Vắng có phép","")))))</f>
        <v/>
      </c>
      <c r="R129" s="39" t="str">
        <f t="shared" si="4"/>
        <v>10</v>
      </c>
      <c r="S129" s="8" t="str">
        <f t="shared" ref="S129:S155" si="12">IFERROR(VLOOKUP($C129,HP,2,0),"")</f>
        <v/>
      </c>
      <c r="T129" s="9" t="s">
        <v>1</v>
      </c>
      <c r="U129" s="137" t="s">
        <v>4</v>
      </c>
      <c r="V129" s="138" t="s">
        <v>576</v>
      </c>
      <c r="W129" s="9" t="s">
        <v>41</v>
      </c>
      <c r="X129" s="9" t="s">
        <v>345</v>
      </c>
      <c r="Y129" s="9" t="s">
        <v>35</v>
      </c>
      <c r="Z129" s="147">
        <f t="shared" si="5"/>
        <v>7.1</v>
      </c>
      <c r="AA129" s="148" t="str" cm="1">
        <f t="array" ref="AA129">_xlfn.IFS(
    Z129&gt;=9, "A+",
    Z129&gt;=8.5, "A",
    Z129&gt;=8, "B+",
    Z129&gt;=7, "B",
    Z129&gt;=6.5, "C+",
    Z129&gt;=5.5, "C",
    Z129&gt;=5, "D+",
    Z129&gt;=4, "D",
    Z129&lt;4, "F"
)</f>
        <v>B</v>
      </c>
      <c r="AB129" s="139"/>
      <c r="AC129" s="139"/>
      <c r="AD129" s="139"/>
      <c r="AE129" s="140"/>
      <c r="AF129" s="139"/>
      <c r="AG129" s="141"/>
      <c r="AH129" s="74"/>
      <c r="AI129" s="141"/>
      <c r="AJ129" s="74"/>
      <c r="AK129" s="141"/>
      <c r="AL129" s="139"/>
      <c r="AM129" s="140"/>
    </row>
    <row r="130" spans="1:39" ht="20.25" customHeight="1" x14ac:dyDescent="0.3">
      <c r="A130" s="1">
        <v>704</v>
      </c>
      <c r="B130" s="6">
        <f>IF(LEN(C130=0),SUBTOTAL(3,$C$10:C130),"")</f>
        <v>48</v>
      </c>
      <c r="C130" s="54" t="s">
        <v>202</v>
      </c>
      <c r="D130" s="55" t="s">
        <v>442</v>
      </c>
      <c r="E130" s="56" t="s">
        <v>443</v>
      </c>
      <c r="F130" s="54" t="s">
        <v>413</v>
      </c>
      <c r="G130" s="57">
        <v>8</v>
      </c>
      <c r="H130" s="57">
        <v>8.5</v>
      </c>
      <c r="I130" s="64" t="s">
        <v>0</v>
      </c>
      <c r="J130" s="57">
        <v>8.5</v>
      </c>
      <c r="K130" s="10"/>
      <c r="L130" s="68">
        <v>7.5</v>
      </c>
      <c r="M130" s="69" t="str">
        <f>IFERROR(LOOKUP(INT(L130),Sheet1!$A$2:$A$12,Sheet1!$B$2:$B$12)&amp;" phẩy "&amp;(LOOKUP(ROUND(L130-INT(L130),1)*10,Sheet1!$A$2:$A$12,Sheet1!$C$2:$C$12)),"")</f>
        <v>Bảy phẩy năm</v>
      </c>
      <c r="N130" s="41"/>
      <c r="O130" s="20" t="s">
        <v>0</v>
      </c>
      <c r="P130" s="7">
        <f t="shared" si="10"/>
        <v>3.4</v>
      </c>
      <c r="Q130" s="8" t="str">
        <f t="shared" si="11"/>
        <v/>
      </c>
      <c r="R130" s="39" t="str">
        <f t="shared" si="4"/>
        <v>10</v>
      </c>
      <c r="S130" s="8" t="str">
        <f t="shared" si="12"/>
        <v/>
      </c>
      <c r="T130" s="9" t="s">
        <v>1</v>
      </c>
      <c r="U130" s="137" t="s">
        <v>4</v>
      </c>
      <c r="V130" s="138" t="s">
        <v>576</v>
      </c>
      <c r="W130" s="9" t="s">
        <v>41</v>
      </c>
      <c r="X130" s="9" t="s">
        <v>345</v>
      </c>
      <c r="Y130" s="9" t="s">
        <v>35</v>
      </c>
      <c r="Z130" s="147">
        <f t="shared" si="5"/>
        <v>7.8500000000000005</v>
      </c>
      <c r="AA130" s="148" t="str" cm="1">
        <f t="array" ref="AA130">_xlfn.IFS(
    Z130&gt;=9, "A+",
    Z130&gt;=8.5, "A",
    Z130&gt;=8, "B+",
    Z130&gt;=7, "B",
    Z130&gt;=6.5, "C+",
    Z130&gt;=5.5, "C",
    Z130&gt;=5, "D+",
    Z130&gt;=4, "D",
    Z130&lt;4, "F"
)</f>
        <v>B</v>
      </c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ht="20.25" customHeight="1" x14ac:dyDescent="0.3">
      <c r="A131" s="1">
        <v>705</v>
      </c>
      <c r="B131" s="6">
        <f>IF(LEN(C131=0),SUBTOTAL(3,$C$10:C131),"")</f>
        <v>49</v>
      </c>
      <c r="C131" s="54" t="s">
        <v>264</v>
      </c>
      <c r="D131" s="55" t="s">
        <v>444</v>
      </c>
      <c r="E131" s="56" t="s">
        <v>445</v>
      </c>
      <c r="F131" s="54" t="s">
        <v>359</v>
      </c>
      <c r="G131" s="57">
        <v>9</v>
      </c>
      <c r="H131" s="57">
        <v>8</v>
      </c>
      <c r="I131" s="64" t="s">
        <v>0</v>
      </c>
      <c r="J131" s="57">
        <v>8.5</v>
      </c>
      <c r="K131" s="10"/>
      <c r="L131" s="68">
        <v>8.1999999999999993</v>
      </c>
      <c r="M131" s="69" t="str">
        <f>IFERROR(LOOKUP(INT(L131),Sheet1!$A$2:$A$12,Sheet1!$B$2:$B$12)&amp;" phẩy "&amp;(LOOKUP(ROUND(L131-INT(L131),1)*10,Sheet1!$A$2:$A$12,Sheet1!$C$2:$C$12)),"")</f>
        <v>Tám phẩy hai</v>
      </c>
      <c r="N131" s="41"/>
      <c r="O131" s="20" t="s">
        <v>0</v>
      </c>
      <c r="P131" s="7">
        <f t="shared" si="10"/>
        <v>3.4</v>
      </c>
      <c r="Q131" s="8" t="str">
        <f t="shared" si="11"/>
        <v/>
      </c>
      <c r="R131" s="39" t="str">
        <f t="shared" si="4"/>
        <v>10</v>
      </c>
      <c r="S131" s="8" t="str">
        <f t="shared" si="12"/>
        <v/>
      </c>
      <c r="T131" s="9" t="s">
        <v>1</v>
      </c>
      <c r="U131" s="137" t="s">
        <v>4</v>
      </c>
      <c r="V131" s="138" t="s">
        <v>576</v>
      </c>
      <c r="W131" s="9" t="s">
        <v>41</v>
      </c>
      <c r="X131" s="9" t="s">
        <v>345</v>
      </c>
      <c r="Y131" s="9" t="s">
        <v>35</v>
      </c>
      <c r="Z131" s="147">
        <f t="shared" si="5"/>
        <v>8.32</v>
      </c>
      <c r="AA131" s="148" t="str" cm="1">
        <f t="array" ref="AA131">_xlfn.IFS(
    Z131&gt;=9, "A+",
    Z131&gt;=8.5, "A",
    Z131&gt;=8, "B+",
    Z131&gt;=7, "B",
    Z131&gt;=6.5, "C+",
    Z131&gt;=5.5, "C",
    Z131&gt;=5, "D+",
    Z131&gt;=4, "D",
    Z131&lt;4, "F"
)</f>
        <v>B+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ht="20.25" customHeight="1" x14ac:dyDescent="0.3">
      <c r="A132" s="1">
        <v>706</v>
      </c>
      <c r="B132" s="6">
        <f>IF(LEN(C132=0),SUBTOTAL(3,$C$10:C132),"")</f>
        <v>50</v>
      </c>
      <c r="C132" s="54" t="s">
        <v>109</v>
      </c>
      <c r="D132" s="55" t="s">
        <v>446</v>
      </c>
      <c r="E132" s="56" t="s">
        <v>447</v>
      </c>
      <c r="F132" s="54" t="s">
        <v>356</v>
      </c>
      <c r="G132" s="57">
        <v>7</v>
      </c>
      <c r="H132" s="57">
        <v>8.5</v>
      </c>
      <c r="I132" s="64" t="s">
        <v>0</v>
      </c>
      <c r="J132" s="57">
        <v>8.5</v>
      </c>
      <c r="K132" s="10"/>
      <c r="L132" s="68">
        <v>7.3</v>
      </c>
      <c r="M132" s="69" t="str">
        <f>IFERROR(LOOKUP(INT(L132),Sheet1!$A$2:$A$12,Sheet1!$B$2:$B$12)&amp;" phẩy "&amp;(LOOKUP(ROUND(L132-INT(L132),1)*10,Sheet1!$A$2:$A$12,Sheet1!$C$2:$C$12)),"")</f>
        <v>Bảy phẩy ba</v>
      </c>
      <c r="N132" s="41"/>
      <c r="O132" s="20" t="s">
        <v>0</v>
      </c>
      <c r="P132" s="7">
        <f t="shared" si="10"/>
        <v>3.3</v>
      </c>
      <c r="Q132" s="8" t="str">
        <f t="shared" si="11"/>
        <v/>
      </c>
      <c r="R132" s="39" t="str">
        <f t="shared" si="4"/>
        <v>10</v>
      </c>
      <c r="S132" s="8" t="str">
        <f t="shared" si="12"/>
        <v/>
      </c>
      <c r="T132" s="9" t="s">
        <v>1</v>
      </c>
      <c r="U132" s="137" t="s">
        <v>4</v>
      </c>
      <c r="V132" s="138" t="s">
        <v>576</v>
      </c>
      <c r="W132" s="9" t="s">
        <v>41</v>
      </c>
      <c r="X132" s="9" t="s">
        <v>345</v>
      </c>
      <c r="Y132" s="9" t="s">
        <v>35</v>
      </c>
      <c r="Z132" s="147">
        <f t="shared" si="5"/>
        <v>7.6300000000000008</v>
      </c>
      <c r="AA132" s="148" t="str" cm="1">
        <f t="array" ref="AA132">_xlfn.IFS(
    Z132&gt;=9, "A+",
    Z132&gt;=8.5, "A",
    Z132&gt;=8, "B+",
    Z132&gt;=7, "B",
    Z132&gt;=6.5, "C+",
    Z132&gt;=5.5, "C",
    Z132&gt;=5, "D+",
    Z132&gt;=4, "D",
    Z132&lt;4, "F"
)</f>
        <v>B</v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ht="20.25" customHeight="1" x14ac:dyDescent="0.3">
      <c r="A133" s="1">
        <v>707</v>
      </c>
      <c r="B133" s="6">
        <f>IF(LEN(C133=0),SUBTOTAL(3,$C$10:C133),"")</f>
        <v>51</v>
      </c>
      <c r="C133" s="54" t="s">
        <v>143</v>
      </c>
      <c r="D133" s="55" t="s">
        <v>448</v>
      </c>
      <c r="E133" s="56" t="s">
        <v>447</v>
      </c>
      <c r="F133" s="54" t="s">
        <v>369</v>
      </c>
      <c r="G133" s="57">
        <v>6</v>
      </c>
      <c r="H133" s="57">
        <v>8</v>
      </c>
      <c r="I133" s="64" t="s">
        <v>0</v>
      </c>
      <c r="J133" s="57">
        <v>7.5</v>
      </c>
      <c r="K133" s="10"/>
      <c r="L133" s="68">
        <v>7.3</v>
      </c>
      <c r="M133" s="69" t="str">
        <f>IFERROR(LOOKUP(INT(L133),Sheet1!$A$2:$A$12,Sheet1!$B$2:$B$12)&amp;" phẩy "&amp;(LOOKUP(ROUND(L133-INT(L133),1)*10,Sheet1!$A$2:$A$12,Sheet1!$C$2:$C$12)),"")</f>
        <v>Bảy phẩy ba</v>
      </c>
      <c r="N133" s="41"/>
      <c r="O133" s="20" t="s">
        <v>0</v>
      </c>
      <c r="P133" s="7">
        <f t="shared" si="10"/>
        <v>2.9</v>
      </c>
      <c r="Q133" s="8" t="str">
        <f t="shared" si="11"/>
        <v/>
      </c>
      <c r="R133" s="39" t="str">
        <f t="shared" si="4"/>
        <v>10</v>
      </c>
      <c r="S133" s="8" t="str">
        <f t="shared" si="12"/>
        <v/>
      </c>
      <c r="T133" s="9" t="s">
        <v>1</v>
      </c>
      <c r="U133" s="137" t="s">
        <v>4</v>
      </c>
      <c r="V133" s="138" t="s">
        <v>576</v>
      </c>
      <c r="W133" s="9" t="s">
        <v>41</v>
      </c>
      <c r="X133" s="9" t="s">
        <v>345</v>
      </c>
      <c r="Y133" s="9" t="s">
        <v>35</v>
      </c>
      <c r="Z133" s="147">
        <f t="shared" si="5"/>
        <v>7.28</v>
      </c>
      <c r="AA133" s="148" t="str" cm="1">
        <f t="array" ref="AA133">_xlfn.IFS(
    Z133&gt;=9, "A+",
    Z133&gt;=8.5, "A",
    Z133&gt;=8, "B+",
    Z133&gt;=7, "B",
    Z133&gt;=6.5, "C+",
    Z133&gt;=5.5, "C",
    Z133&gt;=5, "D+",
    Z133&gt;=4, "D",
    Z133&lt;4, "F"
)</f>
        <v>B</v>
      </c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ht="20.25" customHeight="1" x14ac:dyDescent="0.3">
      <c r="A134" s="1">
        <v>708</v>
      </c>
      <c r="B134" s="6">
        <f>IF(LEN(C134=0),SUBTOTAL(3,$C$10:C134),"")</f>
        <v>52</v>
      </c>
      <c r="C134" s="54" t="s">
        <v>106</v>
      </c>
      <c r="D134" s="55" t="s">
        <v>405</v>
      </c>
      <c r="E134" s="56" t="s">
        <v>447</v>
      </c>
      <c r="F134" s="54" t="s">
        <v>364</v>
      </c>
      <c r="G134" s="57">
        <v>9</v>
      </c>
      <c r="H134" s="57">
        <v>8</v>
      </c>
      <c r="I134" s="64" t="s">
        <v>0</v>
      </c>
      <c r="J134" s="57">
        <v>7.5</v>
      </c>
      <c r="K134" s="10"/>
      <c r="L134" s="68">
        <v>9.1999999999999993</v>
      </c>
      <c r="M134" s="69" t="str">
        <f>IFERROR(LOOKUP(INT(L134),Sheet1!$A$2:$A$12,Sheet1!$B$2:$B$12)&amp;" phẩy "&amp;(LOOKUP(ROUND(L134-INT(L134),1)*10,Sheet1!$A$2:$A$12,Sheet1!$C$2:$C$12)),"")</f>
        <v>Chín phẩy hai</v>
      </c>
      <c r="N134" s="41"/>
      <c r="O134" s="20" t="s">
        <v>0</v>
      </c>
      <c r="P134" s="7">
        <f t="shared" si="10"/>
        <v>3.2</v>
      </c>
      <c r="Q134" s="8" t="str">
        <f t="shared" si="11"/>
        <v/>
      </c>
      <c r="R134" s="39" t="str">
        <f t="shared" si="4"/>
        <v>10</v>
      </c>
      <c r="S134" s="8" t="str">
        <f t="shared" si="12"/>
        <v/>
      </c>
      <c r="T134" s="9" t="s">
        <v>1</v>
      </c>
      <c r="U134" s="137" t="s">
        <v>4</v>
      </c>
      <c r="V134" s="138" t="s">
        <v>576</v>
      </c>
      <c r="W134" s="9" t="s">
        <v>41</v>
      </c>
      <c r="X134" s="9" t="s">
        <v>345</v>
      </c>
      <c r="Y134" s="9" t="s">
        <v>35</v>
      </c>
      <c r="Z134" s="147">
        <f t="shared" si="5"/>
        <v>8.7199999999999989</v>
      </c>
      <c r="AA134" s="148" t="str" cm="1">
        <f t="array" ref="AA134">_xlfn.IFS(
    Z134&gt;=9, "A+",
    Z134&gt;=8.5, "A",
    Z134&gt;=8, "B+",
    Z134&gt;=7, "B",
    Z134&gt;=6.5, "C+",
    Z134&gt;=5.5, "C",
    Z134&gt;=5, "D+",
    Z134&gt;=4, "D",
    Z134&lt;4, "F"
)</f>
        <v>A</v>
      </c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ht="20.25" customHeight="1" x14ac:dyDescent="0.3">
      <c r="A135" s="1">
        <v>709</v>
      </c>
      <c r="B135" s="6">
        <f>IF(LEN(C135=0),SUBTOTAL(3,$C$10:C135),"")</f>
        <v>53</v>
      </c>
      <c r="C135" s="54" t="s">
        <v>265</v>
      </c>
      <c r="D135" s="55" t="s">
        <v>449</v>
      </c>
      <c r="E135" s="56" t="s">
        <v>450</v>
      </c>
      <c r="F135" s="54" t="s">
        <v>364</v>
      </c>
      <c r="G135" s="57">
        <v>8</v>
      </c>
      <c r="H135" s="57">
        <v>8</v>
      </c>
      <c r="I135" s="64" t="s">
        <v>0</v>
      </c>
      <c r="J135" s="57">
        <v>8.5</v>
      </c>
      <c r="K135" s="10"/>
      <c r="L135" s="68">
        <v>4.7</v>
      </c>
      <c r="M135" s="69" t="str">
        <f>IFERROR(LOOKUP(INT(L135),Sheet1!$A$2:$A$12,Sheet1!$B$2:$B$12)&amp;" phẩy "&amp;(LOOKUP(ROUND(L135-INT(L135),1)*10,Sheet1!$A$2:$A$12,Sheet1!$C$2:$C$12)),"")</f>
        <v>Bốn phẩy bảy</v>
      </c>
      <c r="N135" s="41"/>
      <c r="O135" s="20" t="s">
        <v>0</v>
      </c>
      <c r="P135" s="7">
        <f t="shared" si="10"/>
        <v>3.3</v>
      </c>
      <c r="Q135" s="8" t="str">
        <f t="shared" si="11"/>
        <v/>
      </c>
      <c r="R135" s="39" t="str">
        <f t="shared" si="4"/>
        <v>10</v>
      </c>
      <c r="S135" s="8" t="str">
        <f t="shared" si="12"/>
        <v/>
      </c>
      <c r="T135" s="9" t="s">
        <v>1</v>
      </c>
      <c r="U135" s="137" t="s">
        <v>4</v>
      </c>
      <c r="V135" s="138" t="s">
        <v>576</v>
      </c>
      <c r="W135" s="9" t="s">
        <v>41</v>
      </c>
      <c r="X135" s="9" t="s">
        <v>345</v>
      </c>
      <c r="Y135" s="9" t="s">
        <v>35</v>
      </c>
      <c r="Z135" s="147">
        <f t="shared" si="5"/>
        <v>6.12</v>
      </c>
      <c r="AA135" s="148" t="str" cm="1">
        <f t="array" ref="AA135">_xlfn.IFS(
    Z135&gt;=9, "A+",
    Z135&gt;=8.5, "A",
    Z135&gt;=8, "B+",
    Z135&gt;=7, "B",
    Z135&gt;=6.5, "C+",
    Z135&gt;=5.5, "C",
    Z135&gt;=5, "D+",
    Z135&gt;=4, "D",
    Z135&lt;4, "F"
)</f>
        <v>C</v>
      </c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ht="20.25" customHeight="1" x14ac:dyDescent="0.3">
      <c r="A136" s="1">
        <v>710</v>
      </c>
      <c r="B136" s="6">
        <f>IF(LEN(C136=0),SUBTOTAL(3,$C$10:C136),"")</f>
        <v>54</v>
      </c>
      <c r="C136" s="54" t="s">
        <v>160</v>
      </c>
      <c r="D136" s="55" t="s">
        <v>451</v>
      </c>
      <c r="E136" s="56" t="s">
        <v>450</v>
      </c>
      <c r="F136" s="54" t="s">
        <v>413</v>
      </c>
      <c r="G136" s="57">
        <v>8</v>
      </c>
      <c r="H136" s="57">
        <v>8.5</v>
      </c>
      <c r="I136" s="64" t="s">
        <v>0</v>
      </c>
      <c r="J136" s="57">
        <v>7.5</v>
      </c>
      <c r="K136" s="10"/>
      <c r="L136" s="68">
        <v>7.7</v>
      </c>
      <c r="M136" s="69" t="str">
        <f>IFERROR(LOOKUP(INT(L136),Sheet1!$A$2:$A$12,Sheet1!$B$2:$B$12)&amp;" phẩy "&amp;(LOOKUP(ROUND(L136-INT(L136),1)*10,Sheet1!$A$2:$A$12,Sheet1!$C$2:$C$12)),"")</f>
        <v>Bảy phẩy bảy</v>
      </c>
      <c r="N136" s="41"/>
      <c r="O136" s="20" t="s">
        <v>0</v>
      </c>
      <c r="P136" s="7">
        <f t="shared" si="10"/>
        <v>3.2</v>
      </c>
      <c r="Q136" s="8" t="str">
        <f t="shared" si="11"/>
        <v/>
      </c>
      <c r="R136" s="39" t="str">
        <f t="shared" si="4"/>
        <v>10</v>
      </c>
      <c r="S136" s="8" t="str">
        <f t="shared" si="12"/>
        <v/>
      </c>
      <c r="T136" s="9" t="s">
        <v>1</v>
      </c>
      <c r="U136" s="137" t="s">
        <v>4</v>
      </c>
      <c r="V136" s="138" t="s">
        <v>576</v>
      </c>
      <c r="W136" s="9" t="s">
        <v>41</v>
      </c>
      <c r="X136" s="9" t="s">
        <v>345</v>
      </c>
      <c r="Y136" s="9" t="s">
        <v>35</v>
      </c>
      <c r="Z136" s="147">
        <f t="shared" si="5"/>
        <v>7.7700000000000005</v>
      </c>
      <c r="AA136" s="148" t="str" cm="1">
        <f t="array" ref="AA136">_xlfn.IFS(
    Z136&gt;=9, "A+",
    Z136&gt;=8.5, "A",
    Z136&gt;=8, "B+",
    Z136&gt;=7, "B",
    Z136&gt;=6.5, "C+",
    Z136&gt;=5.5, "C",
    Z136&gt;=5, "D+",
    Z136&gt;=4, "D",
    Z136&lt;4, "F"
)</f>
        <v>B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ht="20.25" customHeight="1" x14ac:dyDescent="0.3">
      <c r="A137" s="1">
        <v>711</v>
      </c>
      <c r="B137" s="6">
        <f>IF(LEN(C137=0),SUBTOTAL(3,$C$10:C137),"")</f>
        <v>55</v>
      </c>
      <c r="C137" s="54" t="s">
        <v>241</v>
      </c>
      <c r="D137" s="55" t="s">
        <v>452</v>
      </c>
      <c r="E137" s="56" t="s">
        <v>453</v>
      </c>
      <c r="F137" s="54" t="s">
        <v>359</v>
      </c>
      <c r="G137" s="57">
        <v>8</v>
      </c>
      <c r="H137" s="57">
        <v>8.5</v>
      </c>
      <c r="I137" s="64" t="s">
        <v>0</v>
      </c>
      <c r="J137" s="57">
        <v>7.5</v>
      </c>
      <c r="K137" s="10"/>
      <c r="L137" s="68">
        <v>8</v>
      </c>
      <c r="M137" s="69" t="str">
        <f>IFERROR(LOOKUP(INT(L137),Sheet1!$A$2:$A$12,Sheet1!$B$2:$B$12)&amp;" phẩy "&amp;(LOOKUP(ROUND(L137-INT(L137),1)*10,Sheet1!$A$2:$A$12,Sheet1!$C$2:$C$12)),"")</f>
        <v>Tám phẩy không</v>
      </c>
      <c r="N137" s="41"/>
      <c r="O137" s="20" t="s">
        <v>0</v>
      </c>
      <c r="P137" s="7">
        <f t="shared" si="10"/>
        <v>3.2</v>
      </c>
      <c r="Q137" s="8" t="str">
        <f t="shared" si="11"/>
        <v/>
      </c>
      <c r="R137" s="39" t="str">
        <f t="shared" si="4"/>
        <v>10</v>
      </c>
      <c r="S137" s="8" t="str">
        <f t="shared" si="12"/>
        <v/>
      </c>
      <c r="T137" s="9" t="s">
        <v>1</v>
      </c>
      <c r="U137" s="137" t="s">
        <v>4</v>
      </c>
      <c r="V137" s="138" t="s">
        <v>576</v>
      </c>
      <c r="W137" s="9" t="s">
        <v>41</v>
      </c>
      <c r="X137" s="9" t="s">
        <v>345</v>
      </c>
      <c r="Y137" s="9" t="s">
        <v>35</v>
      </c>
      <c r="Z137" s="147">
        <f t="shared" si="5"/>
        <v>7.95</v>
      </c>
      <c r="AA137" s="148" t="s">
        <v>652</v>
      </c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ht="20.25" customHeight="1" x14ac:dyDescent="0.3">
      <c r="A138" s="1">
        <v>712</v>
      </c>
      <c r="B138" s="6">
        <f>IF(LEN(C138=0),SUBTOTAL(3,$C$10:C138),"")</f>
        <v>56</v>
      </c>
      <c r="C138" s="54" t="s">
        <v>110</v>
      </c>
      <c r="D138" s="55" t="s">
        <v>454</v>
      </c>
      <c r="E138" s="56" t="s">
        <v>455</v>
      </c>
      <c r="F138" s="54" t="s">
        <v>369</v>
      </c>
      <c r="G138" s="57">
        <v>10</v>
      </c>
      <c r="H138" s="57">
        <v>8.5</v>
      </c>
      <c r="I138" s="64" t="s">
        <v>0</v>
      </c>
      <c r="J138" s="57">
        <v>7.5</v>
      </c>
      <c r="K138" s="10"/>
      <c r="L138" s="68">
        <v>9</v>
      </c>
      <c r="M138" s="69" t="str">
        <f>IFERROR(LOOKUP(INT(L138),Sheet1!$A$2:$A$12,Sheet1!$B$2:$B$12)&amp;" phẩy "&amp;(LOOKUP(ROUND(L138-INT(L138),1)*10,Sheet1!$A$2:$A$12,Sheet1!$C$2:$C$12)),"")</f>
        <v>Chín phẩy không</v>
      </c>
      <c r="N138" s="41"/>
      <c r="O138" s="20" t="s">
        <v>0</v>
      </c>
      <c r="P138" s="7">
        <f t="shared" si="10"/>
        <v>3.4</v>
      </c>
      <c r="Q138" s="8" t="str">
        <f t="shared" si="11"/>
        <v/>
      </c>
      <c r="R138" s="39" t="str">
        <f t="shared" ref="R138:R155" si="13">LEFT(V138,2)</f>
        <v>10</v>
      </c>
      <c r="S138" s="8" t="str">
        <f t="shared" si="12"/>
        <v/>
      </c>
      <c r="T138" s="9" t="s">
        <v>1</v>
      </c>
      <c r="U138" s="137" t="s">
        <v>4</v>
      </c>
      <c r="V138" s="138" t="s">
        <v>576</v>
      </c>
      <c r="W138" s="9" t="s">
        <v>41</v>
      </c>
      <c r="X138" s="9" t="s">
        <v>345</v>
      </c>
      <c r="Y138" s="9" t="s">
        <v>35</v>
      </c>
      <c r="Z138" s="147">
        <f t="shared" si="5"/>
        <v>8.75</v>
      </c>
      <c r="AA138" s="148" t="str" cm="1">
        <f t="array" ref="AA138">_xlfn.IFS(
    Z138&gt;=9, "A+",
    Z138&gt;=8.5, "A",
    Z138&gt;=8, "B+",
    Z138&gt;=7, "B",
    Z138&gt;=6.5, "C+",
    Z138&gt;=5.5, "C",
    Z138&gt;=5, "D+",
    Z138&gt;=4, "D",
    Z138&lt;4, "F"
)</f>
        <v>A</v>
      </c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ht="20.25" customHeight="1" x14ac:dyDescent="0.3">
      <c r="A139" s="1">
        <v>713</v>
      </c>
      <c r="B139" s="6">
        <f>IF(LEN(C139=0),SUBTOTAL(3,$C$10:C139),"")</f>
        <v>57</v>
      </c>
      <c r="C139" s="54" t="s">
        <v>96</v>
      </c>
      <c r="D139" s="55" t="s">
        <v>456</v>
      </c>
      <c r="E139" s="56" t="s">
        <v>457</v>
      </c>
      <c r="F139" s="54" t="s">
        <v>356</v>
      </c>
      <c r="G139" s="57">
        <v>9</v>
      </c>
      <c r="H139" s="57">
        <v>8.5</v>
      </c>
      <c r="I139" s="64" t="s">
        <v>0</v>
      </c>
      <c r="J139" s="57">
        <v>8.5</v>
      </c>
      <c r="K139" s="10"/>
      <c r="L139" s="68">
        <v>7.8</v>
      </c>
      <c r="M139" s="69" t="str">
        <f>IFERROR(LOOKUP(INT(L139),Sheet1!$A$2:$A$12,Sheet1!$B$2:$B$12)&amp;" phẩy "&amp;(LOOKUP(ROUND(L139-INT(L139),1)*10,Sheet1!$A$2:$A$12,Sheet1!$C$2:$C$12)),"")</f>
        <v>Bảy phẩy tám</v>
      </c>
      <c r="N139" s="41"/>
      <c r="O139" s="20" t="s">
        <v>0</v>
      </c>
      <c r="P139" s="7">
        <f t="shared" si="10"/>
        <v>3.5</v>
      </c>
      <c r="Q139" s="8" t="str">
        <f t="shared" si="11"/>
        <v/>
      </c>
      <c r="R139" s="39" t="str">
        <f t="shared" si="13"/>
        <v>10</v>
      </c>
      <c r="S139" s="8" t="str">
        <f t="shared" si="12"/>
        <v/>
      </c>
      <c r="T139" s="9" t="s">
        <v>1</v>
      </c>
      <c r="U139" s="137" t="s">
        <v>4</v>
      </c>
      <c r="V139" s="138" t="s">
        <v>576</v>
      </c>
      <c r="W139" s="9" t="s">
        <v>41</v>
      </c>
      <c r="X139" s="9" t="s">
        <v>345</v>
      </c>
      <c r="Y139" s="9" t="s">
        <v>35</v>
      </c>
      <c r="Z139" s="147">
        <f t="shared" si="5"/>
        <v>8.129999999999999</v>
      </c>
      <c r="AA139" s="148" t="str" cm="1">
        <f t="array" ref="AA139">_xlfn.IFS(
    Z139&gt;=9, "A+",
    Z139&gt;=8.5, "A",
    Z139&gt;=8, "B+",
    Z139&gt;=7, "B",
    Z139&gt;=6.5, "C+",
    Z139&gt;=5.5, "C",
    Z139&gt;=5, "D+",
    Z139&gt;=4, "D",
    Z139&lt;4, "F"
)</f>
        <v>B+</v>
      </c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ht="20.25" customHeight="1" x14ac:dyDescent="0.3">
      <c r="A140" s="1">
        <v>714</v>
      </c>
      <c r="B140" s="6">
        <f>IF(LEN(C140=0),SUBTOTAL(3,$C$10:C140),"")</f>
        <v>58</v>
      </c>
      <c r="C140" s="54" t="s">
        <v>257</v>
      </c>
      <c r="D140" s="55" t="s">
        <v>416</v>
      </c>
      <c r="E140" s="56" t="s">
        <v>458</v>
      </c>
      <c r="F140" s="54" t="s">
        <v>372</v>
      </c>
      <c r="G140" s="57">
        <v>10</v>
      </c>
      <c r="H140" s="57">
        <v>8.5</v>
      </c>
      <c r="I140" s="64" t="s">
        <v>0</v>
      </c>
      <c r="J140" s="57">
        <v>8.5</v>
      </c>
      <c r="K140" s="10"/>
      <c r="L140" s="68">
        <v>8</v>
      </c>
      <c r="M140" s="69" t="str">
        <f>IFERROR(LOOKUP(INT(L140),Sheet1!$A$2:$A$12,Sheet1!$B$2:$B$12)&amp;" phẩy "&amp;(LOOKUP(ROUND(L140-INT(L140),1)*10,Sheet1!$A$2:$A$12,Sheet1!$C$2:$C$12)),"")</f>
        <v>Tám phẩy không</v>
      </c>
      <c r="N140" s="41"/>
      <c r="O140" s="20" t="s">
        <v>0</v>
      </c>
      <c r="P140" s="7">
        <f t="shared" si="10"/>
        <v>3.6</v>
      </c>
      <c r="Q140" s="8" t="str">
        <f t="shared" si="11"/>
        <v/>
      </c>
      <c r="R140" s="39" t="str">
        <f t="shared" si="13"/>
        <v>10</v>
      </c>
      <c r="S140" s="8" t="str">
        <f t="shared" si="12"/>
        <v/>
      </c>
      <c r="T140" s="9" t="s">
        <v>1</v>
      </c>
      <c r="U140" s="137" t="s">
        <v>4</v>
      </c>
      <c r="V140" s="138" t="s">
        <v>576</v>
      </c>
      <c r="W140" s="9" t="s">
        <v>41</v>
      </c>
      <c r="X140" s="9" t="s">
        <v>345</v>
      </c>
      <c r="Y140" s="9" t="s">
        <v>35</v>
      </c>
      <c r="Z140" s="147">
        <f t="shared" si="5"/>
        <v>8.35</v>
      </c>
      <c r="AA140" s="148" t="str" cm="1">
        <f t="array" ref="AA140">_xlfn.IFS(
    Z140&gt;=9, "A+",
    Z140&gt;=8.5, "A",
    Z140&gt;=8, "B+",
    Z140&gt;=7, "B",
    Z140&gt;=6.5, "C+",
    Z140&gt;=5.5, "C",
    Z140&gt;=5, "D+",
    Z140&gt;=4, "D",
    Z140&lt;4, "F"
)</f>
        <v>B+</v>
      </c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ht="20.25" customHeight="1" x14ac:dyDescent="0.3">
      <c r="A141" s="1">
        <v>715</v>
      </c>
      <c r="B141" s="6">
        <f>IF(LEN(C141=0),SUBTOTAL(3,$C$10:C141),"")</f>
        <v>59</v>
      </c>
      <c r="C141" s="54" t="s">
        <v>220</v>
      </c>
      <c r="D141" s="55" t="s">
        <v>459</v>
      </c>
      <c r="E141" s="56" t="s">
        <v>460</v>
      </c>
      <c r="F141" s="54" t="s">
        <v>372</v>
      </c>
      <c r="G141" s="57">
        <v>9</v>
      </c>
      <c r="H141" s="57">
        <v>8.5</v>
      </c>
      <c r="I141" s="64" t="s">
        <v>0</v>
      </c>
      <c r="J141" s="57">
        <v>8.5</v>
      </c>
      <c r="K141" s="10"/>
      <c r="L141" s="68">
        <v>6.8</v>
      </c>
      <c r="M141" s="69" t="str">
        <f>IFERROR(LOOKUP(INT(L141),Sheet1!$A$2:$A$12,Sheet1!$B$2:$B$12)&amp;" phẩy "&amp;(LOOKUP(ROUND(L141-INT(L141),1)*10,Sheet1!$A$2:$A$12,Sheet1!$C$2:$C$12)),"")</f>
        <v>Sáu phẩy tám</v>
      </c>
      <c r="N141" s="41"/>
      <c r="O141" s="20" t="s">
        <v>0</v>
      </c>
      <c r="P141" s="7">
        <f t="shared" si="10"/>
        <v>3.5</v>
      </c>
      <c r="Q141" s="8" t="str">
        <f t="shared" si="11"/>
        <v/>
      </c>
      <c r="R141" s="39" t="str">
        <f t="shared" si="13"/>
        <v>10</v>
      </c>
      <c r="S141" s="8" t="str">
        <f t="shared" si="12"/>
        <v/>
      </c>
      <c r="T141" s="9" t="s">
        <v>1</v>
      </c>
      <c r="U141" s="137" t="s">
        <v>4</v>
      </c>
      <c r="V141" s="138" t="s">
        <v>576</v>
      </c>
      <c r="W141" s="9" t="s">
        <v>41</v>
      </c>
      <c r="X141" s="9" t="s">
        <v>345</v>
      </c>
      <c r="Y141" s="9" t="s">
        <v>35</v>
      </c>
      <c r="Z141" s="147">
        <f t="shared" si="5"/>
        <v>7.53</v>
      </c>
      <c r="AA141" s="148" t="str" cm="1">
        <f t="array" ref="AA141">_xlfn.IFS(
    Z141&gt;=9, "A+",
    Z141&gt;=8.5, "A",
    Z141&gt;=8, "B+",
    Z141&gt;=7, "B",
    Z141&gt;=6.5, "C+",
    Z141&gt;=5.5, "C",
    Z141&gt;=5, "D+",
    Z141&gt;=4, "D",
    Z141&lt;4, "F"
)</f>
        <v>B</v>
      </c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ht="20.25" customHeight="1" x14ac:dyDescent="0.3">
      <c r="A142" s="1">
        <v>716</v>
      </c>
      <c r="B142" s="6">
        <f>IF(LEN(C142=0),SUBTOTAL(3,$C$10:C142),"")</f>
        <v>60</v>
      </c>
      <c r="C142" s="54" t="s">
        <v>149</v>
      </c>
      <c r="D142" s="55" t="s">
        <v>461</v>
      </c>
      <c r="E142" s="56" t="s">
        <v>462</v>
      </c>
      <c r="F142" s="54" t="s">
        <v>359</v>
      </c>
      <c r="G142" s="57">
        <v>9</v>
      </c>
      <c r="H142" s="57">
        <v>7.5</v>
      </c>
      <c r="I142" s="64" t="s">
        <v>0</v>
      </c>
      <c r="J142" s="57">
        <v>7.5</v>
      </c>
      <c r="K142" s="10"/>
      <c r="L142" s="68">
        <v>7</v>
      </c>
      <c r="M142" s="69" t="str">
        <f>IFERROR(LOOKUP(INT(L142),Sheet1!$A$2:$A$12,Sheet1!$B$2:$B$12)&amp;" phẩy "&amp;(LOOKUP(ROUND(L142-INT(L142),1)*10,Sheet1!$A$2:$A$12,Sheet1!$C$2:$C$12)),"")</f>
        <v>Bảy phẩy không</v>
      </c>
      <c r="N142" s="41"/>
      <c r="O142" s="20" t="s">
        <v>0</v>
      </c>
      <c r="P142" s="7">
        <f t="shared" si="10"/>
        <v>3.2</v>
      </c>
      <c r="Q142" s="8" t="str">
        <f t="shared" si="11"/>
        <v/>
      </c>
      <c r="R142" s="39" t="str">
        <f t="shared" si="13"/>
        <v>10</v>
      </c>
      <c r="S142" s="8" t="str">
        <f t="shared" si="12"/>
        <v/>
      </c>
      <c r="T142" s="9" t="s">
        <v>1</v>
      </c>
      <c r="U142" s="137" t="s">
        <v>4</v>
      </c>
      <c r="V142" s="138" t="s">
        <v>576</v>
      </c>
      <c r="W142" s="9" t="s">
        <v>41</v>
      </c>
      <c r="X142" s="9" t="s">
        <v>345</v>
      </c>
      <c r="Y142" s="9" t="s">
        <v>35</v>
      </c>
      <c r="Z142" s="147">
        <f t="shared" si="5"/>
        <v>7.35</v>
      </c>
      <c r="AA142" s="148" t="str" cm="1">
        <f t="array" ref="AA142">_xlfn.IFS(
    Z142&gt;=9, "A+",
    Z142&gt;=8.5, "A",
    Z142&gt;=8, "B+",
    Z142&gt;=7, "B",
    Z142&gt;=6.5, "C+",
    Z142&gt;=5.5, "C",
    Z142&gt;=5, "D+",
    Z142&gt;=4, "D",
    Z142&lt;4, "F"
)</f>
        <v>B</v>
      </c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ht="20.25" customHeight="1" x14ac:dyDescent="0.3">
      <c r="A143" s="1">
        <v>717</v>
      </c>
      <c r="B143" s="6">
        <f>IF(LEN(C143=0),SUBTOTAL(3,$C$10:C143),"")</f>
        <v>61</v>
      </c>
      <c r="C143" s="54" t="s">
        <v>107</v>
      </c>
      <c r="D143" s="55" t="s">
        <v>463</v>
      </c>
      <c r="E143" s="56" t="s">
        <v>464</v>
      </c>
      <c r="F143" s="54" t="s">
        <v>356</v>
      </c>
      <c r="G143" s="57">
        <v>10</v>
      </c>
      <c r="H143" s="57">
        <v>8.5</v>
      </c>
      <c r="I143" s="64" t="s">
        <v>0</v>
      </c>
      <c r="J143" s="57">
        <v>8.5</v>
      </c>
      <c r="K143" s="10"/>
      <c r="L143" s="68">
        <v>7.7</v>
      </c>
      <c r="M143" s="69" t="str">
        <f>IFERROR(LOOKUP(INT(L143),Sheet1!$A$2:$A$12,Sheet1!$B$2:$B$12)&amp;" phẩy "&amp;(LOOKUP(ROUND(L143-INT(L143),1)*10,Sheet1!$A$2:$A$12,Sheet1!$C$2:$C$12)),"")</f>
        <v>Bảy phẩy bảy</v>
      </c>
      <c r="N143" s="41"/>
      <c r="O143" s="20" t="s">
        <v>0</v>
      </c>
      <c r="P143" s="7">
        <f t="shared" si="10"/>
        <v>3.6</v>
      </c>
      <c r="Q143" s="8" t="str">
        <f t="shared" si="11"/>
        <v/>
      </c>
      <c r="R143" s="39" t="str">
        <f t="shared" si="13"/>
        <v>10</v>
      </c>
      <c r="S143" s="8" t="str">
        <f t="shared" si="12"/>
        <v/>
      </c>
      <c r="T143" s="9" t="s">
        <v>1</v>
      </c>
      <c r="U143" s="137" t="s">
        <v>4</v>
      </c>
      <c r="V143" s="138" t="s">
        <v>576</v>
      </c>
      <c r="W143" s="9" t="s">
        <v>41</v>
      </c>
      <c r="X143" s="9" t="s">
        <v>345</v>
      </c>
      <c r="Y143" s="9" t="s">
        <v>35</v>
      </c>
      <c r="Z143" s="147">
        <f t="shared" si="5"/>
        <v>8.17</v>
      </c>
      <c r="AA143" s="148" t="str" cm="1">
        <f t="array" ref="AA143">_xlfn.IFS(
    Z143&gt;=9, "A+",
    Z143&gt;=8.5, "A",
    Z143&gt;=8, "B+",
    Z143&gt;=7, "B",
    Z143&gt;=6.5, "C+",
    Z143&gt;=5.5, "C",
    Z143&gt;=5, "D+",
    Z143&gt;=4, "D",
    Z143&lt;4, "F"
)</f>
        <v>B+</v>
      </c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ht="20.25" customHeight="1" x14ac:dyDescent="0.3">
      <c r="A144" s="1">
        <v>718</v>
      </c>
      <c r="B144" s="6">
        <f>IF(LEN(C144=0),SUBTOTAL(3,$C$10:C144),"")</f>
        <v>62</v>
      </c>
      <c r="C144" s="54" t="s">
        <v>111</v>
      </c>
      <c r="D144" s="55" t="s">
        <v>367</v>
      </c>
      <c r="E144" s="56" t="s">
        <v>465</v>
      </c>
      <c r="F144" s="54" t="s">
        <v>364</v>
      </c>
      <c r="G144" s="57">
        <v>10</v>
      </c>
      <c r="H144" s="57">
        <v>8.5</v>
      </c>
      <c r="I144" s="64" t="s">
        <v>0</v>
      </c>
      <c r="J144" s="57">
        <v>8.5</v>
      </c>
      <c r="K144" s="10"/>
      <c r="L144" s="68">
        <v>7.5</v>
      </c>
      <c r="M144" s="69" t="str">
        <f>IFERROR(LOOKUP(INT(L144),Sheet1!$A$2:$A$12,Sheet1!$B$2:$B$12)&amp;" phẩy "&amp;(LOOKUP(ROUND(L144-INT(L144),1)*10,Sheet1!$A$2:$A$12,Sheet1!$C$2:$C$12)),"")</f>
        <v>Bảy phẩy năm</v>
      </c>
      <c r="N144" s="41"/>
      <c r="O144" s="20" t="s">
        <v>0</v>
      </c>
      <c r="P144" s="7">
        <f t="shared" si="10"/>
        <v>3.6</v>
      </c>
      <c r="Q144" s="8" t="str">
        <f t="shared" si="11"/>
        <v/>
      </c>
      <c r="R144" s="39" t="str">
        <f t="shared" si="13"/>
        <v>10</v>
      </c>
      <c r="S144" s="8" t="str">
        <f t="shared" si="12"/>
        <v/>
      </c>
      <c r="T144" s="9" t="s">
        <v>1</v>
      </c>
      <c r="U144" s="137" t="s">
        <v>4</v>
      </c>
      <c r="V144" s="138" t="s">
        <v>576</v>
      </c>
      <c r="W144" s="9" t="s">
        <v>41</v>
      </c>
      <c r="X144" s="9" t="s">
        <v>345</v>
      </c>
      <c r="Y144" s="9" t="s">
        <v>35</v>
      </c>
      <c r="Z144" s="147">
        <f t="shared" si="5"/>
        <v>8.0500000000000007</v>
      </c>
      <c r="AA144" s="148" t="str" cm="1">
        <f t="array" ref="AA144">_xlfn.IFS(
    Z144&gt;=9, "A+",
    Z144&gt;=8.5, "A",
    Z144&gt;=8, "B+",
    Z144&gt;=7, "B",
    Z144&gt;=6.5, "C+",
    Z144&gt;=5.5, "C",
    Z144&gt;=5, "D+",
    Z144&gt;=4, "D",
    Z144&lt;4, "F"
)</f>
        <v>B+</v>
      </c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ht="20.25" customHeight="1" x14ac:dyDescent="0.3">
      <c r="A145" s="1">
        <v>719</v>
      </c>
      <c r="B145" s="6">
        <f>IF(LEN(C145=0),SUBTOTAL(3,$C$10:C145),"")</f>
        <v>63</v>
      </c>
      <c r="C145" s="54" t="s">
        <v>123</v>
      </c>
      <c r="D145" s="55" t="s">
        <v>466</v>
      </c>
      <c r="E145" s="56" t="s">
        <v>467</v>
      </c>
      <c r="F145" s="54" t="s">
        <v>366</v>
      </c>
      <c r="G145" s="57">
        <v>10</v>
      </c>
      <c r="H145" s="57">
        <v>8.5</v>
      </c>
      <c r="I145" s="64" t="s">
        <v>0</v>
      </c>
      <c r="J145" s="57">
        <v>8.5</v>
      </c>
      <c r="K145" s="10"/>
      <c r="L145" s="68">
        <v>7.8</v>
      </c>
      <c r="M145" s="69" t="str">
        <f>IFERROR(LOOKUP(INT(L145),Sheet1!$A$2:$A$12,Sheet1!$B$2:$B$12)&amp;" phẩy "&amp;(LOOKUP(ROUND(L145-INT(L145),1)*10,Sheet1!$A$2:$A$12,Sheet1!$C$2:$C$12)),"")</f>
        <v>Bảy phẩy tám</v>
      </c>
      <c r="N145" s="41"/>
      <c r="O145" s="20" t="s">
        <v>0</v>
      </c>
      <c r="P145" s="7">
        <f t="shared" si="10"/>
        <v>3.6</v>
      </c>
      <c r="Q145" s="8" t="str">
        <f t="shared" si="11"/>
        <v/>
      </c>
      <c r="R145" s="39" t="str">
        <f t="shared" si="13"/>
        <v>10</v>
      </c>
      <c r="S145" s="8" t="str">
        <f t="shared" si="12"/>
        <v/>
      </c>
      <c r="T145" s="9" t="s">
        <v>1</v>
      </c>
      <c r="U145" s="137" t="s">
        <v>4</v>
      </c>
      <c r="V145" s="138" t="s">
        <v>576</v>
      </c>
      <c r="W145" s="9" t="s">
        <v>41</v>
      </c>
      <c r="X145" s="9" t="s">
        <v>345</v>
      </c>
      <c r="Y145" s="9" t="s">
        <v>35</v>
      </c>
      <c r="Z145" s="147">
        <f t="shared" si="5"/>
        <v>8.23</v>
      </c>
      <c r="AA145" s="148" t="str" cm="1">
        <f t="array" ref="AA145">_xlfn.IFS(
    Z145&gt;=9, "A+",
    Z145&gt;=8.5, "A",
    Z145&gt;=8, "B+",
    Z145&gt;=7, "B",
    Z145&gt;=6.5, "C+",
    Z145&gt;=5.5, "C",
    Z145&gt;=5, "D+",
    Z145&gt;=4, "D",
    Z145&lt;4, "F"
)</f>
        <v>B+</v>
      </c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ht="20.25" customHeight="1" x14ac:dyDescent="0.3">
      <c r="A146" s="1">
        <v>720</v>
      </c>
      <c r="B146" s="6">
        <f>IF(LEN(C146=0),SUBTOTAL(3,$C$10:C146),"")</f>
        <v>64</v>
      </c>
      <c r="C146" s="54" t="s">
        <v>147</v>
      </c>
      <c r="D146" s="55" t="s">
        <v>468</v>
      </c>
      <c r="E146" s="56" t="s">
        <v>469</v>
      </c>
      <c r="F146" s="54" t="s">
        <v>372</v>
      </c>
      <c r="G146" s="57">
        <v>9.5</v>
      </c>
      <c r="H146" s="57">
        <v>8.5</v>
      </c>
      <c r="I146" s="64" t="s">
        <v>0</v>
      </c>
      <c r="J146" s="57">
        <v>8.5</v>
      </c>
      <c r="K146" s="10"/>
      <c r="L146" s="68">
        <v>7.2</v>
      </c>
      <c r="M146" s="69" t="str">
        <f>IFERROR(LOOKUP(INT(L146),Sheet1!$A$2:$A$12,Sheet1!$B$2:$B$12)&amp;" phẩy "&amp;(LOOKUP(ROUND(L146-INT(L146),1)*10,Sheet1!$A$2:$A$12,Sheet1!$C$2:$C$12)),"")</f>
        <v>Bảy phẩy hai</v>
      </c>
      <c r="N146" s="41"/>
      <c r="O146" s="20" t="s">
        <v>0</v>
      </c>
      <c r="P146" s="7">
        <f t="shared" si="10"/>
        <v>3.5</v>
      </c>
      <c r="Q146" s="8" t="str">
        <f t="shared" si="11"/>
        <v/>
      </c>
      <c r="R146" s="39" t="str">
        <f t="shared" si="13"/>
        <v>10</v>
      </c>
      <c r="S146" s="8" t="str">
        <f t="shared" si="12"/>
        <v/>
      </c>
      <c r="T146" s="9" t="s">
        <v>1</v>
      </c>
      <c r="U146" s="137" t="s">
        <v>4</v>
      </c>
      <c r="V146" s="138" t="s">
        <v>576</v>
      </c>
      <c r="W146" s="9" t="s">
        <v>41</v>
      </c>
      <c r="X146" s="9" t="s">
        <v>345</v>
      </c>
      <c r="Y146" s="9" t="s">
        <v>35</v>
      </c>
      <c r="Z146" s="147">
        <f t="shared" si="5"/>
        <v>7.82</v>
      </c>
      <c r="AA146" s="148" t="str" cm="1">
        <f t="array" ref="AA146">_xlfn.IFS(
    Z146&gt;=9, "A+",
    Z146&gt;=8.5, "A",
    Z146&gt;=8, "B+",
    Z146&gt;=7, "B",
    Z146&gt;=6.5, "C+",
    Z146&gt;=5.5, "C",
    Z146&gt;=5, "D+",
    Z146&gt;=4, "D",
    Z146&lt;4, "F"
)</f>
        <v>B</v>
      </c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ht="20.25" customHeight="1" x14ac:dyDescent="0.3">
      <c r="A147" s="1">
        <v>721</v>
      </c>
      <c r="B147" s="6">
        <f>IF(LEN(C147=0),SUBTOTAL(3,$C$10:C147),"")</f>
        <v>65</v>
      </c>
      <c r="C147" s="54" t="s">
        <v>258</v>
      </c>
      <c r="D147" s="55" t="s">
        <v>442</v>
      </c>
      <c r="E147" s="56" t="s">
        <v>469</v>
      </c>
      <c r="F147" s="54" t="s">
        <v>413</v>
      </c>
      <c r="G147" s="57">
        <v>8</v>
      </c>
      <c r="H147" s="57">
        <v>8.5</v>
      </c>
      <c r="I147" s="64" t="s">
        <v>0</v>
      </c>
      <c r="J147" s="57">
        <v>7.5</v>
      </c>
      <c r="K147" s="10"/>
      <c r="L147" s="68">
        <v>7.8</v>
      </c>
      <c r="M147" s="69" t="str">
        <f>IFERROR(LOOKUP(INT(L147),Sheet1!$A$2:$A$12,Sheet1!$B$2:$B$12)&amp;" phẩy "&amp;(LOOKUP(ROUND(L147-INT(L147),1)*10,Sheet1!$A$2:$A$12,Sheet1!$C$2:$C$12)),"")</f>
        <v>Bảy phẩy tám</v>
      </c>
      <c r="N147" s="41"/>
      <c r="O147" s="20" t="s">
        <v>0</v>
      </c>
      <c r="P147" s="7">
        <f t="shared" si="10"/>
        <v>3.2</v>
      </c>
      <c r="Q147" s="8" t="str">
        <f t="shared" si="11"/>
        <v/>
      </c>
      <c r="R147" s="39" t="str">
        <f t="shared" si="13"/>
        <v>10</v>
      </c>
      <c r="S147" s="8" t="str">
        <f t="shared" si="12"/>
        <v/>
      </c>
      <c r="T147" s="9" t="s">
        <v>1</v>
      </c>
      <c r="U147" s="137" t="s">
        <v>4</v>
      </c>
      <c r="V147" s="138" t="s">
        <v>576</v>
      </c>
      <c r="W147" s="9" t="s">
        <v>41</v>
      </c>
      <c r="X147" s="9" t="s">
        <v>345</v>
      </c>
      <c r="Y147" s="9" t="s">
        <v>35</v>
      </c>
      <c r="Z147" s="147">
        <f t="shared" si="5"/>
        <v>7.83</v>
      </c>
      <c r="AA147" s="148" t="str" cm="1">
        <f t="array" ref="AA147">_xlfn.IFS(
    Z147&gt;=9, "A+",
    Z147&gt;=8.5, "A",
    Z147&gt;=8, "B+",
    Z147&gt;=7, "B",
    Z147&gt;=6.5, "C+",
    Z147&gt;=5.5, "C",
    Z147&gt;=5, "D+",
    Z147&gt;=4, "D",
    Z147&lt;4, "F"
)</f>
        <v>B</v>
      </c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ht="20.25" customHeight="1" x14ac:dyDescent="0.3">
      <c r="A148" s="1">
        <v>722</v>
      </c>
      <c r="B148" s="6">
        <f>IF(LEN(C148=0),SUBTOTAL(3,$C$10:C148),"")</f>
        <v>66</v>
      </c>
      <c r="C148" s="54" t="s">
        <v>169</v>
      </c>
      <c r="D148" s="55" t="s">
        <v>470</v>
      </c>
      <c r="E148" s="56" t="s">
        <v>469</v>
      </c>
      <c r="F148" s="54" t="s">
        <v>359</v>
      </c>
      <c r="G148" s="57">
        <v>5</v>
      </c>
      <c r="H148" s="57">
        <v>2</v>
      </c>
      <c r="I148" s="64" t="s">
        <v>0</v>
      </c>
      <c r="J148" s="57">
        <v>2</v>
      </c>
      <c r="K148" s="10"/>
      <c r="L148" s="68">
        <v>3.8</v>
      </c>
      <c r="M148" s="69" t="str">
        <f>IFERROR(LOOKUP(INT(L148),Sheet1!$A$2:$A$12,Sheet1!$B$2:$B$12)&amp;" phẩy "&amp;(LOOKUP(ROUND(L148-INT(L148),1)*10,Sheet1!$A$2:$A$12,Sheet1!$C$2:$C$12)),"")</f>
        <v>Ba phẩy tám</v>
      </c>
      <c r="N148" s="41"/>
      <c r="O148" s="20" t="s">
        <v>0</v>
      </c>
      <c r="P148" s="7">
        <f t="shared" si="10"/>
        <v>1.1000000000000001</v>
      </c>
      <c r="Q148" s="8" t="str">
        <f t="shared" si="11"/>
        <v>Không đủ ĐKDT</v>
      </c>
      <c r="R148" s="39" t="str">
        <f t="shared" si="13"/>
        <v>10</v>
      </c>
      <c r="S148" s="8" t="str">
        <f t="shared" si="12"/>
        <v>Nợ HP</v>
      </c>
      <c r="T148" s="9" t="s">
        <v>1</v>
      </c>
      <c r="U148" s="137" t="s">
        <v>4</v>
      </c>
      <c r="V148" s="138" t="s">
        <v>576</v>
      </c>
      <c r="W148" s="9" t="s">
        <v>41</v>
      </c>
      <c r="X148" s="9" t="s">
        <v>345</v>
      </c>
      <c r="Y148" s="9" t="s">
        <v>35</v>
      </c>
      <c r="Z148" s="147">
        <f t="shared" ref="Z148:Z155" si="14">G148*0.1 + H148*0.1 + J148*0.2 + L148*0.6</f>
        <v>3.38</v>
      </c>
      <c r="AA148" s="148" t="str" cm="1">
        <f t="array" ref="AA148">_xlfn.IFS(
    Z148&gt;=9, "A+",
    Z148&gt;=8.5, "A",
    Z148&gt;=8, "B+",
    Z148&gt;=7, "B",
    Z148&gt;=6.5, "C+",
    Z148&gt;=5.5, "C",
    Z148&gt;=5, "D+",
    Z148&gt;=4, "D",
    Z148&lt;4, "F"
)</f>
        <v>F</v>
      </c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ht="20.25" customHeight="1" x14ac:dyDescent="0.3">
      <c r="A149" s="1">
        <v>723</v>
      </c>
      <c r="B149" s="6">
        <f>IF(LEN(C149=0),SUBTOTAL(3,$C$10:C149),"")</f>
        <v>67</v>
      </c>
      <c r="C149" s="54" t="s">
        <v>174</v>
      </c>
      <c r="D149" s="55" t="s">
        <v>471</v>
      </c>
      <c r="E149" s="56" t="s">
        <v>472</v>
      </c>
      <c r="F149" s="54" t="s">
        <v>356</v>
      </c>
      <c r="G149" s="57">
        <v>10</v>
      </c>
      <c r="H149" s="57">
        <v>7.5</v>
      </c>
      <c r="I149" s="64" t="s">
        <v>0</v>
      </c>
      <c r="J149" s="57">
        <v>7.5</v>
      </c>
      <c r="K149" s="10"/>
      <c r="L149" s="68">
        <v>7.8</v>
      </c>
      <c r="M149" s="69" t="str">
        <f>IFERROR(LOOKUP(INT(L149),Sheet1!$A$2:$A$12,Sheet1!$B$2:$B$12)&amp;" phẩy "&amp;(LOOKUP(ROUND(L149-INT(L149),1)*10,Sheet1!$A$2:$A$12,Sheet1!$C$2:$C$12)),"")</f>
        <v>Bảy phẩy tám</v>
      </c>
      <c r="N149" s="41"/>
      <c r="O149" s="20" t="s">
        <v>0</v>
      </c>
      <c r="P149" s="7">
        <f t="shared" si="10"/>
        <v>3.3</v>
      </c>
      <c r="Q149" s="8" t="str">
        <f t="shared" si="11"/>
        <v/>
      </c>
      <c r="R149" s="39" t="str">
        <f t="shared" si="13"/>
        <v>10</v>
      </c>
      <c r="S149" s="8" t="str">
        <f t="shared" si="12"/>
        <v/>
      </c>
      <c r="T149" s="9" t="s">
        <v>1</v>
      </c>
      <c r="U149" s="137" t="s">
        <v>4</v>
      </c>
      <c r="V149" s="138" t="s">
        <v>576</v>
      </c>
      <c r="W149" s="9" t="s">
        <v>41</v>
      </c>
      <c r="X149" s="9" t="s">
        <v>345</v>
      </c>
      <c r="Y149" s="9" t="s">
        <v>35</v>
      </c>
      <c r="Z149" s="147">
        <f t="shared" si="14"/>
        <v>7.93</v>
      </c>
      <c r="AA149" s="148" t="str" cm="1">
        <f t="array" ref="AA149">_xlfn.IFS(
    Z149&gt;=9, "A+",
    Z149&gt;=8.5, "A",
    Z149&gt;=8, "B+",
    Z149&gt;=7, "B",
    Z149&gt;=6.5, "C+",
    Z149&gt;=5.5, "C",
    Z149&gt;=5, "D+",
    Z149&gt;=4, "D",
    Z149&lt;4, "F"
)</f>
        <v>B</v>
      </c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ht="20.25" customHeight="1" x14ac:dyDescent="0.3">
      <c r="A150" s="1">
        <v>724</v>
      </c>
      <c r="B150" s="6">
        <f>IF(LEN(C150=0),SUBTOTAL(3,$C$10:C150),"")</f>
        <v>68</v>
      </c>
      <c r="C150" s="54" t="s">
        <v>140</v>
      </c>
      <c r="D150" s="55" t="s">
        <v>473</v>
      </c>
      <c r="E150" s="56" t="s">
        <v>472</v>
      </c>
      <c r="F150" s="54" t="s">
        <v>354</v>
      </c>
      <c r="G150" s="57">
        <v>10</v>
      </c>
      <c r="H150" s="57">
        <v>8</v>
      </c>
      <c r="I150" s="64" t="s">
        <v>0</v>
      </c>
      <c r="J150" s="57">
        <v>8</v>
      </c>
      <c r="K150" s="10"/>
      <c r="L150" s="68">
        <v>8.3000000000000007</v>
      </c>
      <c r="M150" s="69" t="str">
        <f>IFERROR(LOOKUP(INT(L150),Sheet1!$A$2:$A$12,Sheet1!$B$2:$B$12)&amp;" phẩy "&amp;(LOOKUP(ROUND(L150-INT(L150),1)*10,Sheet1!$A$2:$A$12,Sheet1!$C$2:$C$12)),"")</f>
        <v>Tám phẩy ba</v>
      </c>
      <c r="N150" s="41"/>
      <c r="O150" s="20" t="s">
        <v>0</v>
      </c>
      <c r="P150" s="7">
        <f t="shared" si="10"/>
        <v>3.4</v>
      </c>
      <c r="Q150" s="8" t="str">
        <f t="shared" si="11"/>
        <v/>
      </c>
      <c r="R150" s="39" t="str">
        <f t="shared" si="13"/>
        <v>10</v>
      </c>
      <c r="S150" s="8" t="str">
        <f t="shared" si="12"/>
        <v/>
      </c>
      <c r="T150" s="9" t="s">
        <v>1</v>
      </c>
      <c r="U150" s="137" t="s">
        <v>4</v>
      </c>
      <c r="V150" s="138" t="s">
        <v>576</v>
      </c>
      <c r="W150" s="9" t="s">
        <v>41</v>
      </c>
      <c r="X150" s="9" t="s">
        <v>345</v>
      </c>
      <c r="Y150" s="9" t="s">
        <v>35</v>
      </c>
      <c r="Z150" s="147">
        <f t="shared" si="14"/>
        <v>8.3800000000000008</v>
      </c>
      <c r="AA150" s="148" t="str" cm="1">
        <f t="array" ref="AA150">_xlfn.IFS(
    Z150&gt;=9, "A+",
    Z150&gt;=8.5, "A",
    Z150&gt;=8, "B+",
    Z150&gt;=7, "B",
    Z150&gt;=6.5, "C+",
    Z150&gt;=5.5, "C",
    Z150&gt;=5, "D+",
    Z150&gt;=4, "D",
    Z150&lt;4, "F"
)</f>
        <v>B+</v>
      </c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ht="20.25" customHeight="1" x14ac:dyDescent="0.3">
      <c r="A151" s="1">
        <v>725</v>
      </c>
      <c r="B151" s="6">
        <f>IF(LEN(C151=0),SUBTOTAL(3,$C$10:C151),"")</f>
        <v>69</v>
      </c>
      <c r="C151" s="54" t="s">
        <v>198</v>
      </c>
      <c r="D151" s="55" t="s">
        <v>474</v>
      </c>
      <c r="E151" s="56" t="s">
        <v>475</v>
      </c>
      <c r="F151" s="54" t="s">
        <v>366</v>
      </c>
      <c r="G151" s="57">
        <v>9</v>
      </c>
      <c r="H151" s="57">
        <v>8</v>
      </c>
      <c r="I151" s="64" t="s">
        <v>0</v>
      </c>
      <c r="J151" s="57">
        <v>8.5</v>
      </c>
      <c r="K151" s="10"/>
      <c r="L151" s="68">
        <v>4.7</v>
      </c>
      <c r="M151" s="69" t="str">
        <f>IFERROR(LOOKUP(INT(L151),Sheet1!$A$2:$A$12,Sheet1!$B$2:$B$12)&amp;" phẩy "&amp;(LOOKUP(ROUND(L151-INT(L151),1)*10,Sheet1!$A$2:$A$12,Sheet1!$C$2:$C$12)),"")</f>
        <v>Bốn phẩy bảy</v>
      </c>
      <c r="N151" s="41"/>
      <c r="O151" s="20" t="s">
        <v>0</v>
      </c>
      <c r="P151" s="7">
        <f t="shared" si="10"/>
        <v>3.4</v>
      </c>
      <c r="Q151" s="8" t="str">
        <f t="shared" si="11"/>
        <v/>
      </c>
      <c r="R151" s="39" t="str">
        <f t="shared" si="13"/>
        <v>10</v>
      </c>
      <c r="S151" s="8" t="str">
        <f t="shared" si="12"/>
        <v/>
      </c>
      <c r="T151" s="9" t="s">
        <v>1</v>
      </c>
      <c r="U151" s="137" t="s">
        <v>4</v>
      </c>
      <c r="V151" s="138" t="s">
        <v>576</v>
      </c>
      <c r="W151" s="9" t="s">
        <v>41</v>
      </c>
      <c r="X151" s="9" t="s">
        <v>345</v>
      </c>
      <c r="Y151" s="9" t="s">
        <v>35</v>
      </c>
      <c r="Z151" s="147">
        <f t="shared" si="14"/>
        <v>6.2200000000000006</v>
      </c>
      <c r="AA151" s="148" t="str" cm="1">
        <f t="array" ref="AA151">_xlfn.IFS(
    Z151&gt;=9, "A+",
    Z151&gt;=8.5, "A",
    Z151&gt;=8, "B+",
    Z151&gt;=7, "B",
    Z151&gt;=6.5, "C+",
    Z151&gt;=5.5, "C",
    Z151&gt;=5, "D+",
    Z151&gt;=4, "D",
    Z151&lt;4, "F"
)</f>
        <v>C</v>
      </c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ht="20.25" customHeight="1" x14ac:dyDescent="0.3">
      <c r="A152" s="1">
        <v>726</v>
      </c>
      <c r="B152" s="6">
        <f>IF(LEN(C152=0),SUBTOTAL(3,$C$10:C152),"")</f>
        <v>70</v>
      </c>
      <c r="C152" s="54" t="s">
        <v>213</v>
      </c>
      <c r="D152" s="55" t="s">
        <v>476</v>
      </c>
      <c r="E152" s="56" t="s">
        <v>477</v>
      </c>
      <c r="F152" s="54" t="s">
        <v>372</v>
      </c>
      <c r="G152" s="57">
        <v>10</v>
      </c>
      <c r="H152" s="57">
        <v>8.5</v>
      </c>
      <c r="I152" s="64" t="s">
        <v>0</v>
      </c>
      <c r="J152" s="57">
        <v>8.5</v>
      </c>
      <c r="K152" s="10"/>
      <c r="L152" s="68">
        <v>8.3000000000000007</v>
      </c>
      <c r="M152" s="69" t="str">
        <f>IFERROR(LOOKUP(INT(L152),Sheet1!$A$2:$A$12,Sheet1!$B$2:$B$12)&amp;" phẩy "&amp;(LOOKUP(ROUND(L152-INT(L152),1)*10,Sheet1!$A$2:$A$12,Sheet1!$C$2:$C$12)),"")</f>
        <v>Tám phẩy ba</v>
      </c>
      <c r="N152" s="41"/>
      <c r="O152" s="20" t="s">
        <v>0</v>
      </c>
      <c r="P152" s="7">
        <f t="shared" si="10"/>
        <v>3.6</v>
      </c>
      <c r="Q152" s="8" t="str">
        <f t="shared" si="11"/>
        <v/>
      </c>
      <c r="R152" s="39" t="str">
        <f t="shared" si="13"/>
        <v>10</v>
      </c>
      <c r="S152" s="8" t="str">
        <f t="shared" si="12"/>
        <v/>
      </c>
      <c r="T152" s="9" t="s">
        <v>1</v>
      </c>
      <c r="U152" s="137" t="s">
        <v>4</v>
      </c>
      <c r="V152" s="138" t="s">
        <v>576</v>
      </c>
      <c r="W152" s="9" t="s">
        <v>41</v>
      </c>
      <c r="X152" s="9" t="s">
        <v>345</v>
      </c>
      <c r="Y152" s="9" t="s">
        <v>35</v>
      </c>
      <c r="Z152" s="147">
        <f t="shared" si="14"/>
        <v>8.5300000000000011</v>
      </c>
      <c r="AA152" s="148" t="str" cm="1">
        <f t="array" ref="AA152">_xlfn.IFS(
    Z152&gt;=9, "A+",
    Z152&gt;=8.5, "A",
    Z152&gt;=8, "B+",
    Z152&gt;=7, "B",
    Z152&gt;=6.5, "C+",
    Z152&gt;=5.5, "C",
    Z152&gt;=5, "D+",
    Z152&gt;=4, "D",
    Z152&lt;4, "F"
)</f>
        <v>A</v>
      </c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ht="20.25" customHeight="1" x14ac:dyDescent="0.3">
      <c r="A153" s="1">
        <v>727</v>
      </c>
      <c r="B153" s="6">
        <f>IF(LEN(C153=0),SUBTOTAL(3,$C$10:C153),"")</f>
        <v>71</v>
      </c>
      <c r="C153" s="54" t="s">
        <v>112</v>
      </c>
      <c r="D153" s="55" t="s">
        <v>478</v>
      </c>
      <c r="E153" s="56" t="s">
        <v>477</v>
      </c>
      <c r="F153" s="54" t="s">
        <v>369</v>
      </c>
      <c r="G153" s="57">
        <v>9</v>
      </c>
      <c r="H153" s="57">
        <v>8.5</v>
      </c>
      <c r="I153" s="64" t="s">
        <v>0</v>
      </c>
      <c r="J153" s="57">
        <v>7.5</v>
      </c>
      <c r="K153" s="10"/>
      <c r="L153" s="68">
        <v>7.5</v>
      </c>
      <c r="M153" s="69" t="str">
        <f>IFERROR(LOOKUP(INT(L153),Sheet1!$A$2:$A$12,Sheet1!$B$2:$B$12)&amp;" phẩy "&amp;(LOOKUP(ROUND(L153-INT(L153),1)*10,Sheet1!$A$2:$A$12,Sheet1!$C$2:$C$12)),"")</f>
        <v>Bảy phẩy năm</v>
      </c>
      <c r="N153" s="41"/>
      <c r="O153" s="20" t="s">
        <v>0</v>
      </c>
      <c r="P153" s="7">
        <f t="shared" si="10"/>
        <v>3.3</v>
      </c>
      <c r="Q153" s="8" t="str">
        <f t="shared" si="11"/>
        <v/>
      </c>
      <c r="R153" s="39" t="str">
        <f t="shared" si="13"/>
        <v>10</v>
      </c>
      <c r="S153" s="8" t="str">
        <f t="shared" si="12"/>
        <v/>
      </c>
      <c r="T153" s="9" t="s">
        <v>1</v>
      </c>
      <c r="U153" s="137" t="s">
        <v>4</v>
      </c>
      <c r="V153" s="138" t="s">
        <v>576</v>
      </c>
      <c r="W153" s="9" t="s">
        <v>41</v>
      </c>
      <c r="X153" s="9" t="s">
        <v>345</v>
      </c>
      <c r="Y153" s="9" t="s">
        <v>35</v>
      </c>
      <c r="Z153" s="147">
        <f t="shared" si="14"/>
        <v>7.75</v>
      </c>
      <c r="AA153" s="148" t="str" cm="1">
        <f t="array" ref="AA153">_xlfn.IFS(
    Z153&gt;=9, "A+",
    Z153&gt;=8.5, "A",
    Z153&gt;=8, "B+",
    Z153&gt;=7, "B",
    Z153&gt;=6.5, "C+",
    Z153&gt;=5.5, "C",
    Z153&gt;=5, "D+",
    Z153&gt;=4, "D",
    Z153&lt;4, "F"
)</f>
        <v>B</v>
      </c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ht="20.25" customHeight="1" x14ac:dyDescent="0.3">
      <c r="A154" s="1">
        <v>728</v>
      </c>
      <c r="B154" s="6">
        <f>IF(LEN(C154=0),SUBTOTAL(3,$C$10:C154),"")</f>
        <v>72</v>
      </c>
      <c r="C154" s="54" t="s">
        <v>170</v>
      </c>
      <c r="D154" s="55" t="s">
        <v>479</v>
      </c>
      <c r="E154" s="56" t="s">
        <v>480</v>
      </c>
      <c r="F154" s="54" t="s">
        <v>359</v>
      </c>
      <c r="G154" s="57">
        <v>10</v>
      </c>
      <c r="H154" s="57">
        <v>7.5</v>
      </c>
      <c r="I154" s="64" t="s">
        <v>0</v>
      </c>
      <c r="J154" s="57">
        <v>7.5</v>
      </c>
      <c r="K154" s="10"/>
      <c r="L154" s="68">
        <v>8.3000000000000007</v>
      </c>
      <c r="M154" s="69" t="str">
        <f>IFERROR(LOOKUP(INT(L154),Sheet1!$A$2:$A$12,Sheet1!$B$2:$B$12)&amp;" phẩy "&amp;(LOOKUP(ROUND(L154-INT(L154),1)*10,Sheet1!$A$2:$A$12,Sheet1!$C$2:$C$12)),"")</f>
        <v>Tám phẩy ba</v>
      </c>
      <c r="N154" s="41"/>
      <c r="O154" s="20" t="s">
        <v>0</v>
      </c>
      <c r="P154" s="7">
        <f t="shared" si="10"/>
        <v>3.3</v>
      </c>
      <c r="Q154" s="8" t="str">
        <f t="shared" si="11"/>
        <v/>
      </c>
      <c r="R154" s="39" t="str">
        <f t="shared" si="13"/>
        <v>10</v>
      </c>
      <c r="S154" s="8" t="str">
        <f t="shared" si="12"/>
        <v/>
      </c>
      <c r="T154" s="9" t="s">
        <v>1</v>
      </c>
      <c r="U154" s="137" t="s">
        <v>4</v>
      </c>
      <c r="V154" s="138" t="s">
        <v>576</v>
      </c>
      <c r="W154" s="9" t="s">
        <v>41</v>
      </c>
      <c r="X154" s="9" t="s">
        <v>345</v>
      </c>
      <c r="Y154" s="9" t="s">
        <v>35</v>
      </c>
      <c r="Z154" s="147">
        <f t="shared" si="14"/>
        <v>8.23</v>
      </c>
      <c r="AA154" s="148" t="str" cm="1">
        <f t="array" ref="AA154">_xlfn.IFS(
    Z154&gt;=9, "A+",
    Z154&gt;=8.5, "A",
    Z154&gt;=8, "B+",
    Z154&gt;=7, "B",
    Z154&gt;=6.5, "C+",
    Z154&gt;=5.5, "C",
    Z154&gt;=5, "D+",
    Z154&gt;=4, "D",
    Z154&lt;4, "F"
)</f>
        <v>B+</v>
      </c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ht="20.25" customHeight="1" x14ac:dyDescent="0.3">
      <c r="A155" s="1">
        <v>729</v>
      </c>
      <c r="B155" s="47">
        <f>IF(LEN(C155=0),SUBTOTAL(3,$C$10:C155),"")</f>
        <v>73</v>
      </c>
      <c r="C155" s="58" t="s">
        <v>100</v>
      </c>
      <c r="D155" s="59" t="s">
        <v>481</v>
      </c>
      <c r="E155" s="60" t="s">
        <v>482</v>
      </c>
      <c r="F155" s="58" t="s">
        <v>354</v>
      </c>
      <c r="G155" s="61">
        <v>10</v>
      </c>
      <c r="H155" s="61">
        <v>7.5</v>
      </c>
      <c r="I155" s="65" t="s">
        <v>0</v>
      </c>
      <c r="J155" s="61">
        <v>7</v>
      </c>
      <c r="K155" s="48"/>
      <c r="L155" s="70">
        <v>8.1999999999999993</v>
      </c>
      <c r="M155" s="71" t="str">
        <f>IFERROR(LOOKUP(INT(L155),Sheet1!$A$2:$A$12,Sheet1!$B$2:$B$12)&amp;" phẩy "&amp;(LOOKUP(ROUND(L155-INT(L155),1)*10,Sheet1!$A$2:$A$12,Sheet1!$C$2:$C$12)),"")</f>
        <v>Tám phẩy hai</v>
      </c>
      <c r="N155" s="49"/>
      <c r="O155" s="50" t="s">
        <v>0</v>
      </c>
      <c r="P155" s="51">
        <f t="shared" si="10"/>
        <v>3.2</v>
      </c>
      <c r="Q155" s="52" t="str">
        <f t="shared" si="11"/>
        <v/>
      </c>
      <c r="R155" s="53" t="str">
        <f t="shared" si="13"/>
        <v>10</v>
      </c>
      <c r="S155" s="52" t="str">
        <f t="shared" si="12"/>
        <v/>
      </c>
      <c r="T155" s="9" t="s">
        <v>1</v>
      </c>
      <c r="U155" s="137" t="s">
        <v>4</v>
      </c>
      <c r="V155" s="138" t="s">
        <v>576</v>
      </c>
      <c r="W155" s="9" t="s">
        <v>41</v>
      </c>
      <c r="X155" s="9" t="s">
        <v>345</v>
      </c>
      <c r="Y155" s="9" t="s">
        <v>35</v>
      </c>
      <c r="Z155" s="147">
        <f t="shared" si="14"/>
        <v>8.07</v>
      </c>
      <c r="AA155" s="148" t="str" cm="1">
        <f t="array" ref="AA155">_xlfn.IFS(
    Z155&gt;=9, "A+",
    Z155&gt;=8.5, "A",
    Z155&gt;=8, "B+",
    Z155&gt;=7, "B",
    Z155&gt;=6.5, "C+",
    Z155&gt;=5.5, "C",
    Z155&gt;=5, "D+",
    Z155&gt;=4, "D",
    Z155&lt;4, "F"
)</f>
        <v>B+</v>
      </c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ht="23.25" hidden="1" customHeight="1" x14ac:dyDescent="0.3">
      <c r="B156" s="18"/>
      <c r="C156" s="18"/>
      <c r="D156" s="19"/>
      <c r="E156" s="34"/>
      <c r="F156" s="2"/>
      <c r="G156" s="2"/>
      <c r="H156" s="76" t="s">
        <v>351</v>
      </c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25"/>
      <c r="U156" s="25"/>
      <c r="V156" s="25"/>
      <c r="W156" s="25"/>
      <c r="X156" s="25"/>
      <c r="Y156" s="25"/>
    </row>
    <row r="157" spans="1:39" ht="33" hidden="1" customHeight="1" x14ac:dyDescent="0.3">
      <c r="B157" s="99" t="s">
        <v>645</v>
      </c>
      <c r="C157" s="86"/>
      <c r="D157" s="86"/>
      <c r="E157" s="86"/>
      <c r="F157" s="86"/>
      <c r="G157" s="46"/>
      <c r="H157" s="101" t="s">
        <v>34</v>
      </c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26"/>
      <c r="U157" s="26"/>
      <c r="V157" s="26"/>
      <c r="W157" s="26"/>
      <c r="X157" s="26"/>
      <c r="Y157" s="26"/>
    </row>
    <row r="158" spans="1:39" hidden="1" x14ac:dyDescent="0.3">
      <c r="B158" s="86" t="s">
        <v>350</v>
      </c>
      <c r="C158" s="86"/>
      <c r="D158" s="86"/>
      <c r="E158" s="86"/>
      <c r="F158" s="86"/>
      <c r="G158" s="11"/>
      <c r="H158" s="11"/>
      <c r="I158" s="2"/>
      <c r="J158" s="2"/>
      <c r="K158" s="2"/>
      <c r="L158" s="2"/>
      <c r="M158" s="2"/>
      <c r="N158" s="2"/>
      <c r="O158" s="2"/>
      <c r="P158" s="2"/>
      <c r="Q158" s="2"/>
      <c r="R158" s="40"/>
      <c r="S158" s="38" t="str">
        <f t="shared" ref="S158:S161" si="15">IFERROR(VLOOKUP($C158,HP,2,0),"")</f>
        <v/>
      </c>
      <c r="T158" s="26"/>
      <c r="U158" s="26"/>
      <c r="V158" s="26"/>
      <c r="W158" s="26"/>
      <c r="X158" s="26"/>
      <c r="Y158" s="26"/>
    </row>
    <row r="159" spans="1:39" hidden="1" x14ac:dyDescent="0.3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40"/>
      <c r="S159" s="38" t="str">
        <f t="shared" si="15"/>
        <v/>
      </c>
      <c r="T159" s="26"/>
      <c r="U159" s="26"/>
      <c r="V159" s="26"/>
      <c r="W159" s="26"/>
      <c r="X159" s="26"/>
      <c r="Y159" s="26"/>
    </row>
    <row r="160" spans="1:39" hidden="1" x14ac:dyDescent="0.3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40"/>
      <c r="S160" s="38" t="str">
        <f t="shared" si="15"/>
        <v/>
      </c>
      <c r="T160" s="26"/>
      <c r="U160" s="26"/>
      <c r="V160" s="26"/>
      <c r="W160" s="26"/>
      <c r="X160" s="26"/>
      <c r="Y160" s="26"/>
    </row>
    <row r="161" spans="2:25" hidden="1" x14ac:dyDescent="0.3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40"/>
      <c r="S161" s="38" t="str">
        <f t="shared" si="15"/>
        <v/>
      </c>
      <c r="T161" s="26"/>
      <c r="U161" s="26"/>
      <c r="V161" s="26"/>
      <c r="W161" s="26"/>
      <c r="X161" s="26"/>
      <c r="Y161" s="26"/>
    </row>
  </sheetData>
  <sheetProtection formatCells="0" formatColumns="0" formatRows="0" insertColumns="0" insertRows="0" insertHyperlinks="0" deleteColumns="0" deleteRows="0" sort="0" autoFilter="0" pivotTables="0"/>
  <autoFilter ref="B9:AM161" xr:uid="{00000000-0009-0000-0000-000001000000}">
    <filterColumn colId="0" showButton="0"/>
    <filterColumn colId="1" showButton="0"/>
    <filterColumn colId="2" showButton="0"/>
    <filterColumn colId="3" showButton="0"/>
    <filterColumn colId="20">
      <filters>
        <filter val="10"/>
      </filters>
    </filterColumn>
  </autoFilter>
  <mergeCells count="46">
    <mergeCell ref="Z7:Z9"/>
    <mergeCell ref="AA7:AA9"/>
    <mergeCell ref="V7:V9"/>
    <mergeCell ref="W7:W9"/>
    <mergeCell ref="X7:X9"/>
    <mergeCell ref="Y7:Y9"/>
    <mergeCell ref="G1:N1"/>
    <mergeCell ref="O1:S1"/>
    <mergeCell ref="B2:F2"/>
    <mergeCell ref="G2:S2"/>
    <mergeCell ref="G3:S4"/>
    <mergeCell ref="AJ5:AK6"/>
    <mergeCell ref="AL5:AM6"/>
    <mergeCell ref="B6:C6"/>
    <mergeCell ref="F6:H6"/>
    <mergeCell ref="I6:P6"/>
    <mergeCell ref="Q6:S6"/>
    <mergeCell ref="AB5:AE6"/>
    <mergeCell ref="AF5:AG6"/>
    <mergeCell ref="AH5:AI6"/>
    <mergeCell ref="B5:C5"/>
    <mergeCell ref="J5:N5"/>
    <mergeCell ref="Q5:S5"/>
    <mergeCell ref="U7:U9"/>
    <mergeCell ref="T7:T9"/>
    <mergeCell ref="B9:F9"/>
    <mergeCell ref="I7:I8"/>
    <mergeCell ref="J7:J8"/>
    <mergeCell ref="K7:K8"/>
    <mergeCell ref="L7:M7"/>
    <mergeCell ref="N7:N8"/>
    <mergeCell ref="O7:O8"/>
    <mergeCell ref="B7:B8"/>
    <mergeCell ref="C7:C8"/>
    <mergeCell ref="D7:E8"/>
    <mergeCell ref="F7:F8"/>
    <mergeCell ref="G7:G8"/>
    <mergeCell ref="H7:H8"/>
    <mergeCell ref="H156:S156"/>
    <mergeCell ref="B157:F157"/>
    <mergeCell ref="H157:S157"/>
    <mergeCell ref="B158:F158"/>
    <mergeCell ref="P7:P9"/>
    <mergeCell ref="Q7:Q9"/>
    <mergeCell ref="R7:R9"/>
    <mergeCell ref="S7:S9"/>
  </mergeCells>
  <conditionalFormatting sqref="K10:K27 G10:H128 O10:O27 J10:J128 I10:I155 L10:L155">
    <cfRule type="cellIs" dxfId="53" priority="50" operator="greaterThan">
      <formula>10</formula>
    </cfRule>
  </conditionalFormatting>
  <conditionalFormatting sqref="O10:O27">
    <cfRule type="cellIs" dxfId="52" priority="44" operator="greaterThan">
      <formula>10</formula>
    </cfRule>
    <cfRule type="cellIs" dxfId="51" priority="45" operator="greaterThan">
      <formula>10</formula>
    </cfRule>
    <cfRule type="cellIs" dxfId="50" priority="46" operator="greaterThan">
      <formula>10</formula>
    </cfRule>
    <cfRule type="cellIs" dxfId="49" priority="47" operator="greaterThan">
      <formula>10</formula>
    </cfRule>
    <cfRule type="cellIs" dxfId="48" priority="48" operator="greaterThan">
      <formula>10</formula>
    </cfRule>
    <cfRule type="cellIs" dxfId="47" priority="49" operator="greaterThan">
      <formula>10</formula>
    </cfRule>
  </conditionalFormatting>
  <conditionalFormatting sqref="G10:H128 J10:J128 I10:I155 L10:L155">
    <cfRule type="cellIs" dxfId="46" priority="43" operator="greaterThan">
      <formula>10</formula>
    </cfRule>
  </conditionalFormatting>
  <conditionalFormatting sqref="C162:C1048576 C2:C9">
    <cfRule type="duplicateValues" dxfId="45" priority="51"/>
  </conditionalFormatting>
  <conditionalFormatting sqref="G10:H128 J10:J128 I10:I155 L10:L155">
    <cfRule type="cellIs" priority="42" operator="greaterThan">
      <formula>10</formula>
    </cfRule>
  </conditionalFormatting>
  <conditionalFormatting sqref="N162:N1048576 N9">
    <cfRule type="duplicateValues" dxfId="44" priority="52"/>
  </conditionalFormatting>
  <conditionalFormatting sqref="G129:H155 O129:O155 J129:K155">
    <cfRule type="cellIs" dxfId="43" priority="41" operator="greaterThan">
      <formula>10</formula>
    </cfRule>
  </conditionalFormatting>
  <conditionalFormatting sqref="O129:O155">
    <cfRule type="cellIs" dxfId="42" priority="35" operator="greaterThan">
      <formula>10</formula>
    </cfRule>
    <cfRule type="cellIs" dxfId="41" priority="36" operator="greaterThan">
      <formula>10</formula>
    </cfRule>
    <cfRule type="cellIs" dxfId="40" priority="37" operator="greaterThan">
      <formula>10</formula>
    </cfRule>
    <cfRule type="cellIs" dxfId="39" priority="38" operator="greaterThan">
      <formula>10</formula>
    </cfRule>
    <cfRule type="cellIs" dxfId="38" priority="39" operator="greaterThan">
      <formula>10</formula>
    </cfRule>
    <cfRule type="cellIs" dxfId="37" priority="40" operator="greaterThan">
      <formula>10</formula>
    </cfRule>
  </conditionalFormatting>
  <conditionalFormatting sqref="G129:H155 J129:J155">
    <cfRule type="cellIs" dxfId="36" priority="34" operator="greaterThan">
      <formula>10</formula>
    </cfRule>
  </conditionalFormatting>
  <conditionalFormatting sqref="G129:H155 J129:J155">
    <cfRule type="cellIs" priority="33" operator="greaterThan">
      <formula>10</formula>
    </cfRule>
  </conditionalFormatting>
  <conditionalFormatting sqref="O77:O93 K77:K93">
    <cfRule type="cellIs" dxfId="35" priority="30" operator="greaterThan">
      <formula>10</formula>
    </cfRule>
  </conditionalFormatting>
  <conditionalFormatting sqref="O77:O93">
    <cfRule type="cellIs" dxfId="34" priority="24" operator="greaterThan">
      <formula>10</formula>
    </cfRule>
    <cfRule type="cellIs" dxfId="33" priority="25" operator="greaterThan">
      <formula>10</formula>
    </cfRule>
    <cfRule type="cellIs" dxfId="32" priority="26" operator="greaterThan">
      <formula>10</formula>
    </cfRule>
    <cfRule type="cellIs" dxfId="31" priority="27" operator="greaterThan">
      <formula>10</formula>
    </cfRule>
    <cfRule type="cellIs" dxfId="30" priority="28" operator="greaterThan">
      <formula>10</formula>
    </cfRule>
    <cfRule type="cellIs" dxfId="29" priority="29" operator="greaterThan">
      <formula>10</formula>
    </cfRule>
  </conditionalFormatting>
  <conditionalFormatting sqref="O28:O76 K28:K76">
    <cfRule type="cellIs" dxfId="28" priority="22" operator="greaterThan">
      <formula>10</formula>
    </cfRule>
  </conditionalFormatting>
  <conditionalFormatting sqref="O28:O76">
    <cfRule type="cellIs" dxfId="27" priority="16" operator="greaterThan">
      <formula>10</formula>
    </cfRule>
    <cfRule type="cellIs" dxfId="26" priority="17" operator="greaterThan">
      <formula>10</formula>
    </cfRule>
    <cfRule type="cellIs" dxfId="25" priority="18" operator="greaterThan">
      <formula>10</formula>
    </cfRule>
    <cfRule type="cellIs" dxfId="24" priority="19" operator="greaterThan">
      <formula>10</formula>
    </cfRule>
    <cfRule type="cellIs" dxfId="23" priority="20" operator="greaterThan">
      <formula>10</formula>
    </cfRule>
    <cfRule type="cellIs" dxfId="22" priority="21" operator="greaterThan">
      <formula>10</formula>
    </cfRule>
  </conditionalFormatting>
  <conditionalFormatting sqref="C28:C76">
    <cfRule type="duplicateValues" dxfId="21" priority="23"/>
  </conditionalFormatting>
  <conditionalFormatting sqref="K126:K128 O126:O128 K94:K106 O94:O106">
    <cfRule type="cellIs" dxfId="20" priority="15" operator="greaterThan">
      <formula>10</formula>
    </cfRule>
  </conditionalFormatting>
  <conditionalFormatting sqref="O126:O128 O94:O106">
    <cfRule type="cellIs" dxfId="19" priority="9" operator="greaterThan">
      <formula>10</formula>
    </cfRule>
    <cfRule type="cellIs" dxfId="18" priority="10" operator="greaterThan">
      <formula>10</formula>
    </cfRule>
    <cfRule type="cellIs" dxfId="17" priority="11" operator="greaterThan">
      <formula>10</formula>
    </cfRule>
    <cfRule type="cellIs" dxfId="16" priority="12" operator="greaterThan">
      <formula>10</formula>
    </cfRule>
    <cfRule type="cellIs" dxfId="15" priority="13" operator="greaterThan">
      <formula>10</formula>
    </cfRule>
    <cfRule type="cellIs" dxfId="14" priority="14" operator="greaterThan">
      <formula>10</formula>
    </cfRule>
  </conditionalFormatting>
  <conditionalFormatting sqref="K107:K125 O107:O125">
    <cfRule type="cellIs" dxfId="13" priority="7" operator="greaterThan">
      <formula>10</formula>
    </cfRule>
  </conditionalFormatting>
  <conditionalFormatting sqref="O107:O125">
    <cfRule type="cellIs" dxfId="12" priority="1" operator="greaterThan">
      <formula>10</formula>
    </cfRule>
    <cfRule type="cellIs" dxfId="11" priority="2" operator="greaterThan">
      <formula>10</formula>
    </cfRule>
    <cfRule type="cellIs" dxfId="10" priority="3" operator="greaterThan">
      <formula>10</formula>
    </cfRule>
    <cfRule type="cellIs" dxfId="9" priority="4" operator="greaterThan">
      <formula>10</formula>
    </cfRule>
    <cfRule type="cellIs" dxfId="8" priority="5" operator="greaterThan">
      <formula>10</formula>
    </cfRule>
    <cfRule type="cellIs" dxfId="7" priority="6" operator="greaterThan">
      <formula>10</formula>
    </cfRule>
  </conditionalFormatting>
  <conditionalFormatting sqref="C107:C125">
    <cfRule type="duplicateValues" dxfId="6" priority="8"/>
  </conditionalFormatting>
  <conditionalFormatting sqref="C77:C93 C10:C27">
    <cfRule type="duplicateValues" dxfId="5" priority="31"/>
  </conditionalFormatting>
  <conditionalFormatting sqref="C126:C128 C94:C106">
    <cfRule type="duplicateValues" dxfId="4" priority="32"/>
  </conditionalFormatting>
  <conditionalFormatting sqref="C129:C155">
    <cfRule type="duplicateValues" dxfId="3" priority="53"/>
  </conditionalFormatting>
  <conditionalFormatting sqref="N129:N155">
    <cfRule type="duplicateValues" dxfId="2" priority="54"/>
  </conditionalFormatting>
  <conditionalFormatting sqref="C156 C159:C161">
    <cfRule type="duplicateValues" dxfId="1" priority="55"/>
  </conditionalFormatting>
  <conditionalFormatting sqref="N10:N128">
    <cfRule type="duplicateValues" dxfId="0" priority="56"/>
  </conditionalFormatting>
  <dataValidations count="2">
    <dataValidation showInputMessage="1" showErrorMessage="1" sqref="O1" xr:uid="{581D0DDE-F03C-41B8-A38D-2BBFF21B39A3}"/>
    <dataValidation allowBlank="1" showInputMessage="1" showErrorMessage="1" errorTitle="Không xóa dữ liệu" error="Không xóa dữ liệu" prompt="Không xóa dữ liệu" sqref="Y4:Z5 AB4:AM8 AA4:AA7" xr:uid="{E431DC33-EC2E-4D2B-A1ED-DCBEDCA73DFC}"/>
  </dataValidations>
  <pageMargins left="0.47244094488188981" right="3.937007874015748E-2" top="0.43307086614173229" bottom="0.62992125984251968" header="0.15748031496062992" footer="0.11811023622047245"/>
  <pageSetup paperSize="9" scale="78" fitToWidth="0" fitToHeight="0" orientation="portrait" r:id="rId1"/>
  <headerFooter alignWithMargins="0">
    <oddFooter>&amp;R&amp;"Times New Roman,Italic"&amp;11Trang &amp;P</oddFooter>
  </headerFooter>
  <colBreaks count="1" manualBreakCount="1">
    <brk id="19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C12"/>
  <sheetViews>
    <sheetView workbookViewId="0">
      <selection sqref="A1:XFD1048576"/>
    </sheetView>
  </sheetViews>
  <sheetFormatPr defaultColWidth="9" defaultRowHeight="15.6" x14ac:dyDescent="0.3"/>
  <cols>
    <col min="1" max="16384" width="9" style="67"/>
  </cols>
  <sheetData>
    <row r="2" spans="1:3" x14ac:dyDescent="0.3">
      <c r="A2" s="67">
        <v>0</v>
      </c>
      <c r="B2" s="67" t="s">
        <v>620</v>
      </c>
      <c r="C2" s="67" t="s">
        <v>621</v>
      </c>
    </row>
    <row r="3" spans="1:3" x14ac:dyDescent="0.3">
      <c r="A3" s="67">
        <v>1</v>
      </c>
      <c r="B3" s="67" t="s">
        <v>622</v>
      </c>
      <c r="C3" s="67" t="s">
        <v>623</v>
      </c>
    </row>
    <row r="4" spans="1:3" x14ac:dyDescent="0.3">
      <c r="A4" s="67">
        <v>2</v>
      </c>
      <c r="B4" s="67" t="s">
        <v>624</v>
      </c>
      <c r="C4" s="67" t="s">
        <v>625</v>
      </c>
    </row>
    <row r="5" spans="1:3" x14ac:dyDescent="0.3">
      <c r="A5" s="67">
        <v>3</v>
      </c>
      <c r="B5" s="67" t="s">
        <v>626</v>
      </c>
      <c r="C5" s="67" t="s">
        <v>627</v>
      </c>
    </row>
    <row r="6" spans="1:3" x14ac:dyDescent="0.3">
      <c r="A6" s="67">
        <v>4</v>
      </c>
      <c r="B6" s="67" t="s">
        <v>628</v>
      </c>
      <c r="C6" s="67" t="s">
        <v>629</v>
      </c>
    </row>
    <row r="7" spans="1:3" x14ac:dyDescent="0.3">
      <c r="A7" s="67">
        <v>5</v>
      </c>
      <c r="B7" s="67" t="s">
        <v>630</v>
      </c>
      <c r="C7" s="67" t="s">
        <v>631</v>
      </c>
    </row>
    <row r="8" spans="1:3" x14ac:dyDescent="0.3">
      <c r="A8" s="67">
        <v>6</v>
      </c>
      <c r="B8" s="67" t="s">
        <v>632</v>
      </c>
      <c r="C8" s="67" t="s">
        <v>633</v>
      </c>
    </row>
    <row r="9" spans="1:3" x14ac:dyDescent="0.3">
      <c r="A9" s="67">
        <v>7</v>
      </c>
      <c r="B9" s="67" t="s">
        <v>634</v>
      </c>
      <c r="C9" s="67" t="s">
        <v>635</v>
      </c>
    </row>
    <row r="10" spans="1:3" x14ac:dyDescent="0.3">
      <c r="A10" s="67">
        <v>8</v>
      </c>
      <c r="B10" s="67" t="s">
        <v>636</v>
      </c>
      <c r="C10" s="67" t="s">
        <v>637</v>
      </c>
    </row>
    <row r="11" spans="1:3" x14ac:dyDescent="0.3">
      <c r="A11" s="67">
        <v>9</v>
      </c>
      <c r="B11" s="67" t="s">
        <v>638</v>
      </c>
      <c r="C11" s="67" t="s">
        <v>639</v>
      </c>
    </row>
    <row r="12" spans="1:3" x14ac:dyDescent="0.3">
      <c r="A12" s="67">
        <v>10</v>
      </c>
      <c r="B12" s="67" t="s">
        <v>640</v>
      </c>
      <c r="C12" s="67" t="s">
        <v>641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577098E9FF964B88A03D96053372EB" ma:contentTypeVersion="18" ma:contentTypeDescription="Create a new document." ma:contentTypeScope="" ma:versionID="f20c2c89013c17fcf87ec3a19313c8a5">
  <xsd:schema xmlns:xsd="http://www.w3.org/2001/XMLSchema" xmlns:xs="http://www.w3.org/2001/XMLSchema" xmlns:p="http://schemas.microsoft.com/office/2006/metadata/properties" xmlns:ns3="672d9584-d200-427e-87ef-3025a414715f" xmlns:ns4="05dd8961-0c6a-4e66-ae4e-e9f27d5a235a" targetNamespace="http://schemas.microsoft.com/office/2006/metadata/properties" ma:root="true" ma:fieldsID="be9741baf01b261f27f9302d093e7c93" ns3:_="" ns4:_="">
    <xsd:import namespace="672d9584-d200-427e-87ef-3025a414715f"/>
    <xsd:import namespace="05dd8961-0c6a-4e66-ae4e-e9f27d5a235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2d9584-d200-427e-87ef-3025a41471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dd8961-0c6a-4e66-ae4e-e9f27d5a235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2d9584-d200-427e-87ef-3025a414715f" xsi:nil="true"/>
  </documentManagement>
</p:properties>
</file>

<file path=customXml/itemProps1.xml><?xml version="1.0" encoding="utf-8"?>
<ds:datastoreItem xmlns:ds="http://schemas.openxmlformats.org/officeDocument/2006/customXml" ds:itemID="{62700242-D892-45CC-A786-349C7C4CAB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99A86D-301B-4FD1-8EA6-05B64B178B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2d9584-d200-427e-87ef-3025a414715f"/>
    <ds:schemaRef ds:uri="05dd8961-0c6a-4e66-ae4e-e9f27d5a23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94C6E3B-6D66-4983-8A17-C92A08271B7B}">
  <ds:schemaRefs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672d9584-d200-427e-87ef-3025a414715f"/>
    <ds:schemaRef ds:uri="05dd8961-0c6a-4e66-ae4e-e9f27d5a235a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HP</vt:lpstr>
      <vt:lpstr>Nhóm(9)</vt:lpstr>
      <vt:lpstr>Nhóm(10)</vt:lpstr>
      <vt:lpstr>Sheet1</vt:lpstr>
      <vt:lpstr>HP</vt:lpstr>
      <vt:lpstr>'Nhóm(10)'!Print_Area</vt:lpstr>
      <vt:lpstr>'Nhóm(9)'!Print_Area</vt:lpstr>
      <vt:lpstr>'Nhóm(10)'!Print_Titles</vt:lpstr>
      <vt:lpstr>'Nhóm(9)'!Print_Titles</vt:lpstr>
    </vt:vector>
  </TitlesOfParts>
  <Manager/>
  <Company>Micrsoft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WindowsXP Professional SP3</dc:creator>
  <cp:keywords/>
  <dc:description/>
  <cp:lastModifiedBy>Administrator</cp:lastModifiedBy>
  <cp:revision/>
  <cp:lastPrinted>2024-06-09T02:21:15Z</cp:lastPrinted>
  <dcterms:created xsi:type="dcterms:W3CDTF">2015-04-17T02:48:53Z</dcterms:created>
  <dcterms:modified xsi:type="dcterms:W3CDTF">2024-06-14T04:58:59Z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0x01010063577098E9FF964B88A03D96053372EB</vt:lpwstr>
  </property>
</Properties>
</file>